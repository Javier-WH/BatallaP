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A983946-8A25-45EF-8755-E84D77B1ECD5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R33" i="1"/>
  <c r="L33" i="1"/>
  <c r="J33" i="1"/>
  <c r="I33" i="1"/>
  <c r="AG32" i="1"/>
  <c r="R32" i="1"/>
  <c r="L32" i="1"/>
  <c r="J32" i="1"/>
  <c r="I32" i="1"/>
  <c r="AG31" i="1"/>
  <c r="R31" i="1"/>
  <c r="L31" i="1"/>
  <c r="J31" i="1"/>
  <c r="I31" i="1"/>
  <c r="AG30" i="1"/>
  <c r="R30" i="1"/>
  <c r="L30" i="1"/>
  <c r="J30" i="1"/>
  <c r="I30" i="1"/>
  <c r="AG29" i="1"/>
  <c r="R29" i="1"/>
  <c r="L29" i="1"/>
  <c r="J29" i="1"/>
  <c r="I29" i="1"/>
  <c r="AG28" i="1"/>
  <c r="R28" i="1"/>
  <c r="L28" i="1"/>
  <c r="J28" i="1"/>
  <c r="I28" i="1"/>
  <c r="AG27" i="1"/>
  <c r="R27" i="1"/>
  <c r="L27" i="1"/>
  <c r="J27" i="1"/>
  <c r="I27" i="1"/>
  <c r="AG26" i="1"/>
  <c r="R26" i="1"/>
  <c r="L26" i="1"/>
  <c r="J26" i="1"/>
  <c r="I26" i="1"/>
  <c r="AG25" i="1"/>
  <c r="R25" i="1"/>
  <c r="L25" i="1"/>
  <c r="J25" i="1"/>
  <c r="I25" i="1"/>
  <c r="AG24" i="1"/>
  <c r="R24" i="1"/>
  <c r="L24" i="1"/>
  <c r="J24" i="1"/>
  <c r="I24" i="1"/>
  <c r="AG23" i="1"/>
  <c r="R23" i="1"/>
  <c r="L23" i="1"/>
  <c r="J23" i="1"/>
  <c r="I23" i="1"/>
  <c r="AG22" i="1"/>
  <c r="R22" i="1"/>
  <c r="L22" i="1"/>
  <c r="J22" i="1"/>
  <c r="I22" i="1"/>
  <c r="AG21" i="1"/>
  <c r="R21" i="1"/>
  <c r="L21" i="1"/>
  <c r="J21" i="1"/>
  <c r="I21" i="1"/>
  <c r="AG20" i="1"/>
  <c r="R20" i="1"/>
  <c r="L20" i="1"/>
  <c r="J20" i="1"/>
  <c r="I20" i="1"/>
  <c r="AG19" i="1"/>
  <c r="R19" i="1"/>
  <c r="L19" i="1"/>
  <c r="J19" i="1"/>
  <c r="I19" i="1"/>
  <c r="AG18" i="1"/>
  <c r="R18" i="1"/>
  <c r="L18" i="1"/>
  <c r="J18" i="1"/>
  <c r="I18" i="1"/>
  <c r="AG17" i="1"/>
  <c r="R17" i="1"/>
  <c r="L17" i="1"/>
  <c r="J17" i="1"/>
  <c r="I17" i="1"/>
  <c r="AG16" i="1"/>
  <c r="R16" i="1"/>
  <c r="L16" i="1"/>
  <c r="J16" i="1"/>
  <c r="I16" i="1"/>
  <c r="AG15" i="1"/>
  <c r="R15" i="1"/>
  <c r="L15" i="1"/>
  <c r="J15" i="1"/>
  <c r="I15" i="1"/>
  <c r="AG14" i="1"/>
  <c r="R14" i="1"/>
  <c r="L14" i="1"/>
  <c r="J14" i="1"/>
  <c r="I14" i="1"/>
  <c r="AG13" i="1"/>
  <c r="R13" i="1"/>
  <c r="L13" i="1"/>
  <c r="J13" i="1"/>
  <c r="I13" i="1"/>
  <c r="AG12" i="1"/>
  <c r="R12" i="1"/>
  <c r="L12" i="1"/>
  <c r="J12" i="1"/>
  <c r="I12" i="1"/>
  <c r="AG11" i="1"/>
  <c r="R11" i="1"/>
  <c r="L11" i="1"/>
  <c r="J11" i="1"/>
  <c r="I11" i="1"/>
  <c r="AG10" i="1"/>
  <c r="R10" i="1"/>
  <c r="L10" i="1"/>
  <c r="J10" i="1"/>
  <c r="I10" i="1"/>
  <c r="AG9" i="1"/>
  <c r="R9" i="1"/>
  <c r="L9" i="1"/>
  <c r="J9" i="1"/>
  <c r="I9" i="1"/>
  <c r="AG8" i="1"/>
  <c r="R8" i="1"/>
  <c r="L8" i="1"/>
  <c r="J8" i="1"/>
  <c r="I8" i="1"/>
  <c r="AG7" i="1"/>
  <c r="R7" i="1"/>
  <c r="L7" i="1"/>
  <c r="J7" i="1"/>
  <c r="I7" i="1"/>
  <c r="AG6" i="1"/>
  <c r="R6" i="1"/>
  <c r="L6" i="1"/>
  <c r="J6" i="1"/>
  <c r="I6" i="1"/>
  <c r="AG5" i="1"/>
  <c r="R5" i="1"/>
  <c r="L5" i="1"/>
  <c r="J5" i="1"/>
  <c r="I5" i="1"/>
  <c r="AG4" i="1"/>
  <c r="AE4" i="1"/>
  <c r="R4" i="1"/>
  <c r="L4" i="1"/>
  <c r="J4" i="1"/>
  <c r="I4" i="1"/>
</calcChain>
</file>

<file path=xl/sharedStrings.xml><?xml version="1.0" encoding="utf-8"?>
<sst xmlns="http://schemas.openxmlformats.org/spreadsheetml/2006/main" count="1823" uniqueCount="1266">
  <si>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</si>
  <si>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</si>
  <si>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</si>
  <si>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</si>
  <si>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</si>
  <si>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</si>
  <si>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</si>
  <si>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</si>
  <si>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</si>
  <si>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</si>
  <si>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</si>
  <si>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</si>
  <si>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</si>
  <si>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</si>
  <si>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</si>
  <si>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</si>
  <si>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</si>
  <si>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</si>
  <si>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</si>
  <si>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</si>
  <si>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</si>
  <si>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</si>
  <si>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</si>
  <si>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</si>
  <si>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</si>
  <si>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</si>
  <si>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</si>
  <si>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</si>
  <si>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</si>
  <si>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</si>
  <si>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</si>
  <si>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</si>
  <si>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</si>
  <si>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</si>
  <si>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</si>
  <si>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</si>
  <si>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</si>
  <si>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</si>
  <si>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</si>
  <si>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</si>
  <si>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</si>
  <si>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</si>
  <si>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</si>
  <si>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</si>
  <si>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</si>
  <si>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</si>
  <si>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</si>
  <si>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</si>
  <si>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</si>
  <si>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</si>
  <si>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</si>
  <si>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</si>
  <si>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</si>
  <si>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</si>
  <si>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</si>
  <si>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</si>
  <si>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</si>
  <si>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</si>
  <si>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</si>
  <si>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</si>
  <si>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</si>
  <si>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</si>
  <si>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</si>
  <si>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</si>
  <si>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</si>
  <si>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</si>
  <si>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</si>
  <si>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</si>
  <si>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</si>
  <si>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</si>
  <si>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</si>
  <si>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</si>
  <si>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</si>
  <si>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</si>
  <si>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</si>
  <si>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</si>
  <si>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</si>
  <si>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</si>
  <si>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</si>
  <si>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</si>
  <si>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</si>
  <si>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</si>
  <si>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</si>
  <si>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</si>
  <si>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</si>
  <si>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</si>
  <si>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</si>
  <si>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</si>
  <si>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</si>
  <si>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</si>
  <si>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</si>
  <si>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</si>
  <si>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</si>
  <si>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</si>
  <si>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</si>
  <si>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</si>
  <si>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</si>
  <si>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</si>
  <si>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</si>
  <si>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</si>
  <si>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</si>
  <si>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</si>
  <si>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</si>
  <si>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</si>
  <si>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</si>
  <si>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</si>
  <si>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</si>
  <si>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</si>
  <si>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</si>
  <si>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</si>
  <si>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</si>
  <si>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</si>
  <si>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</si>
  <si>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</si>
  <si>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</si>
  <si>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</si>
  <si>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</si>
  <si>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</si>
  <si>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</si>
  <si>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</si>
  <si>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</si>
  <si>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</si>
  <si>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</si>
  <si>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</si>
  <si>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</si>
  <si>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</si>
  <si>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</si>
  <si>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</si>
  <si>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</si>
  <si>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</si>
  <si>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</si>
  <si>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</si>
  <si>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</si>
  <si>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</si>
  <si>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</si>
  <si>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</si>
  <si>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</si>
  <si>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</si>
  <si>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</si>
  <si>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</si>
  <si>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</si>
  <si>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</si>
  <si>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</si>
  <si>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</si>
  <si>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</si>
  <si>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</si>
  <si>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</si>
  <si>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</si>
  <si>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</si>
  <si>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</si>
  <si>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</si>
  <si>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</si>
  <si>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</si>
  <si>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</si>
  <si>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</si>
  <si>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</si>
  <si>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</si>
  <si>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</si>
  <si>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</si>
  <si>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</si>
  <si>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</si>
  <si>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</si>
  <si>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</si>
  <si>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</si>
  <si>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</si>
  <si>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</si>
  <si>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</si>
  <si>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</si>
  <si>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</si>
  <si>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</si>
  <si>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</si>
  <si>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</si>
  <si>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</si>
  <si>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</si>
  <si>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</si>
  <si>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</si>
  <si>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</si>
  <si>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</si>
  <si>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</si>
  <si>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</si>
  <si>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</si>
  <si>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</si>
  <si>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</si>
  <si>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</si>
  <si>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</si>
  <si>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</si>
  <si>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</si>
  <si>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</si>
  <si>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</si>
  <si>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</si>
  <si>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</si>
  <si>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</si>
  <si>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</si>
  <si>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</si>
  <si>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</si>
  <si>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</si>
  <si>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</si>
  <si>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</si>
  <si>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</si>
  <si>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</si>
  <si>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</si>
  <si>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</si>
  <si>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</si>
  <si>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</si>
  <si>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</si>
  <si>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</si>
  <si>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</si>
  <si>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</si>
  <si>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</si>
  <si>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</si>
  <si>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</si>
  <si>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</si>
  <si>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</si>
  <si>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</si>
  <si>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</si>
  <si>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</si>
  <si>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</si>
  <si>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</si>
  <si>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</si>
  <si>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</si>
  <si>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</si>
  <si>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</si>
  <si>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</si>
  <si>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</si>
  <si>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</si>
  <si>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</si>
  <si>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</si>
  <si>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</si>
  <si>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</si>
  <si>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</si>
  <si>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</si>
  <si>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</si>
  <si>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</si>
  <si>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</si>
  <si>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</si>
  <si>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</si>
  <si>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</si>
  <si>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</si>
  <si>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</si>
  <si>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</si>
  <si>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</si>
  <si>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</si>
  <si>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</si>
  <si>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</si>
  <si>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</si>
  <si>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</si>
  <si>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</si>
  <si>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</si>
  <si>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</si>
  <si>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</si>
  <si>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</si>
  <si>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</si>
  <si>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</si>
  <si>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</si>
  <si>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</si>
  <si>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</si>
  <si>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</si>
  <si>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</si>
  <si>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</si>
  <si>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</si>
  <si>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</si>
  <si>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</si>
  <si>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</si>
  <si>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</si>
  <si>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</si>
  <si>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</si>
  <si>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</si>
  <si>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</si>
  <si>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</si>
  <si>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</si>
  <si>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</si>
  <si>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</si>
  <si>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</si>
  <si>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</si>
  <si>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</si>
  <si>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</si>
  <si>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</si>
  <si>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</si>
  <si>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</si>
  <si>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</si>
  <si>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</si>
  <si>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</si>
  <si>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</si>
  <si>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</si>
  <si>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</si>
  <si>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</si>
  <si>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</si>
  <si>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</si>
  <si>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</si>
  <si>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</si>
  <si>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</si>
  <si>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</si>
  <si>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</si>
  <si>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</si>
  <si>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</si>
  <si>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</si>
  <si>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</si>
  <si>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</si>
  <si>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</si>
  <si>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</si>
  <si>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</si>
  <si>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</si>
  <si>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</si>
  <si>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</si>
  <si>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</si>
  <si>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</si>
  <si>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</si>
  <si>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</si>
  <si>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</si>
  <si>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</si>
  <si>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</si>
  <si>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</si>
  <si>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</si>
  <si>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</si>
  <si>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</si>
  <si>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</si>
  <si>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</si>
  <si>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</si>
  <si>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</si>
  <si>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</si>
  <si>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</si>
  <si>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</si>
  <si>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</si>
  <si>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</si>
  <si>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</si>
  <si>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</si>
  <si>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</si>
  <si>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</si>
  <si>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</si>
  <si>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</si>
  <si>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</si>
  <si>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</si>
  <si>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</si>
  <si>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</si>
  <si>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</si>
  <si>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</si>
  <si>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</si>
  <si>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</si>
  <si>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</si>
  <si>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</si>
  <si>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</si>
  <si>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</si>
  <si>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</si>
  <si>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</si>
  <si>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</si>
  <si>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</si>
  <si>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</si>
  <si>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</si>
  <si>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</si>
  <si>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</si>
  <si>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</si>
  <si>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</si>
  <si>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</si>
  <si>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</si>
  <si>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</si>
  <si>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</si>
  <si>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</si>
  <si>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</si>
  <si>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</si>
  <si>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</si>
  <si>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</si>
  <si>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</si>
  <si>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</si>
  <si>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</si>
  <si>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</si>
  <si>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</si>
  <si>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</si>
  <si>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</si>
  <si>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</si>
  <si>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</si>
  <si>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</si>
  <si>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</si>
  <si>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</si>
  <si>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</si>
  <si>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</si>
  <si>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</si>
  <si>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</si>
  <si>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</si>
  <si>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</si>
  <si>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</si>
  <si>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</si>
  <si>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</si>
  <si>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</si>
  <si>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</si>
  <si>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</si>
  <si>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</si>
  <si>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</si>
  <si>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</si>
  <si>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</si>
  <si>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</si>
  <si>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</si>
  <si>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</si>
  <si>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</si>
  <si>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</si>
  <si>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</si>
  <si>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</si>
  <si>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</si>
  <si>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</si>
  <si>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</si>
  <si>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</si>
  <si>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</si>
  <si>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</si>
  <si>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</si>
  <si>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</si>
  <si>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</si>
  <si>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</si>
  <si>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</si>
  <si>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</si>
  <si>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</si>
  <si>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</si>
  <si>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</si>
  <si>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</si>
  <si>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</si>
  <si>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</si>
  <si>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</si>
  <si>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</si>
  <si>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</si>
  <si>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</si>
  <si>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</si>
  <si>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</si>
  <si>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</si>
  <si>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</si>
  <si>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</si>
  <si>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</si>
  <si>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</si>
  <si>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</si>
  <si>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</si>
  <si>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</si>
  <si>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</si>
  <si>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</si>
  <si>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</si>
  <si>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</si>
  <si>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</si>
  <si>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</si>
  <si>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</si>
  <si>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</si>
  <si>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</si>
  <si>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</si>
  <si>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</si>
  <si>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</si>
  <si>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</si>
  <si>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</si>
  <si>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</si>
  <si>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</si>
  <si>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</si>
  <si>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</si>
  <si>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</si>
  <si>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</si>
  <si>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</si>
  <si>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</si>
  <si>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</si>
  <si>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</si>
  <si>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</si>
  <si>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</si>
  <si>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</si>
  <si>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</si>
  <si>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</si>
  <si>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</si>
  <si>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</si>
  <si>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</si>
  <si>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</si>
  <si>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</si>
  <si>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</si>
  <si>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</si>
  <si>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</si>
  <si>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</si>
  <si>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</si>
  <si>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</si>
  <si>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</si>
  <si>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</si>
  <si>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</si>
  <si>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</si>
  <si>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</si>
  <si>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</si>
  <si>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</si>
  <si>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</si>
  <si>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</si>
  <si>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</si>
  <si>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</si>
  <si>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</si>
  <si>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</si>
  <si>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</si>
  <si>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</si>
  <si>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</si>
  <si>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</si>
  <si>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</si>
  <si>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</si>
  <si>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</si>
  <si>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</si>
  <si>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</si>
  <si>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</si>
  <si>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</si>
  <si>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</si>
  <si>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</si>
  <si>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</si>
  <si>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</si>
  <si>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</si>
  <si>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</si>
  <si>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</si>
  <si>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</si>
  <si>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</si>
  <si>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</si>
  <si>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</si>
  <si>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</si>
  <si>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</si>
  <si>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</si>
  <si>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</si>
  <si>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</si>
  <si>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</si>
  <si>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</si>
  <si>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</si>
  <si>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</si>
  <si>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</si>
  <si>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</si>
  <si>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</si>
  <si>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</si>
  <si>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</si>
  <si>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</si>
  <si>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</si>
  <si>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</si>
  <si>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</si>
  <si>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</si>
  <si>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</si>
  <si>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</si>
  <si>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</si>
  <si>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</si>
  <si>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</si>
  <si>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</si>
  <si>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</si>
  <si>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</si>
  <si>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</si>
  <si>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</si>
  <si>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</si>
  <si>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</si>
  <si>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</si>
  <si>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</si>
  <si>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</si>
  <si>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</si>
  <si>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</si>
  <si>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</si>
  <si>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</si>
  <si>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</si>
  <si>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</si>
  <si>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</si>
  <si>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</si>
  <si>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</si>
  <si>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</si>
  <si>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</si>
  <si>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</si>
  <si>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</si>
  <si>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</si>
  <si>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</si>
  <si>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</si>
  <si>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</si>
  <si>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</si>
  <si>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</si>
  <si>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</si>
  <si>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</si>
  <si>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</si>
  <si>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</si>
  <si>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</si>
  <si>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</si>
  <si>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</si>
  <si>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</si>
  <si>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</si>
  <si>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</si>
  <si>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</si>
  <si>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</si>
  <si>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</si>
  <si>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</si>
  <si>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</si>
  <si>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</si>
  <si>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</si>
  <si>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</si>
  <si>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</si>
  <si>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</si>
  <si>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</si>
  <si>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</si>
  <si>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</si>
  <si>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</si>
  <si>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</si>
  <si>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</si>
  <si>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</si>
  <si>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</si>
  <si>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</si>
  <si>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</si>
  <si>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</si>
  <si>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</si>
  <si>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</si>
  <si>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</si>
  <si>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</si>
  <si>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</si>
  <si>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</si>
  <si>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</si>
  <si>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</si>
  <si>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</si>
  <si>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</si>
  <si>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</si>
  <si>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</si>
  <si>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</si>
  <si>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</si>
  <si>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</si>
  <si>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</si>
  <si>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</si>
  <si>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</si>
  <si>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</si>
  <si>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</si>
  <si>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</si>
  <si>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</si>
  <si>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</si>
  <si>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</si>
  <si>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</si>
  <si>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</si>
  <si>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</si>
  <si>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</si>
  <si>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</si>
  <si>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</si>
  <si>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</si>
  <si>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</si>
  <si>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</si>
  <si>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</si>
  <si>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</si>
  <si>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</si>
  <si>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</si>
  <si>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</si>
  <si>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</si>
  <si>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</si>
  <si>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</si>
  <si>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</si>
  <si>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</si>
  <si>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</si>
  <si>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</si>
  <si>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</si>
  <si>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</si>
  <si>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</si>
  <si>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</si>
  <si>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</si>
  <si>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</si>
  <si>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</si>
  <si>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</si>
  <si>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</si>
  <si>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</si>
  <si>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</si>
  <si>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</si>
  <si>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</si>
  <si>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</si>
  <si>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</si>
  <si>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</si>
  <si>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</si>
  <si>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</si>
  <si>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</si>
  <si>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</si>
  <si>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</si>
  <si>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</si>
  <si>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</si>
  <si>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</si>
  <si>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</si>
  <si>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</si>
  <si>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</si>
  <si>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</si>
  <si>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</si>
  <si>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</si>
  <si>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</si>
  <si>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</si>
  <si>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</si>
  <si>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</si>
  <si>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</si>
  <si>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</si>
  <si>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</si>
  <si>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</si>
  <si>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</si>
  <si>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</si>
  <si>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</si>
  <si>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</si>
  <si>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</si>
  <si>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</si>
  <si>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</si>
  <si>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</si>
  <si>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</si>
  <si>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</si>
  <si>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</si>
  <si>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</si>
  <si>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</si>
  <si>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</si>
  <si>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</si>
  <si>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</si>
  <si>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</si>
  <si>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</si>
  <si>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</si>
  <si>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</si>
  <si>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</si>
  <si>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</si>
  <si>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</si>
  <si>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</si>
  <si>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</si>
  <si>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</si>
  <si>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</si>
  <si>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</si>
  <si>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</si>
  <si>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</si>
  <si>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</si>
  <si>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</si>
  <si>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</si>
  <si>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</si>
  <si>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</si>
  <si>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</si>
  <si>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</si>
  <si>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</si>
  <si>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</si>
  <si>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</si>
  <si>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</si>
  <si>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</si>
  <si>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</si>
  <si>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</si>
  <si>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</si>
  <si>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</si>
  <si>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</si>
  <si>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</si>
  <si>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</si>
  <si>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</si>
  <si>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</si>
  <si>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</si>
  <si>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</si>
  <si>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</si>
  <si>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</si>
  <si>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</si>
  <si>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</si>
  <si>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</si>
  <si>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</si>
  <si>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</si>
  <si>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</si>
  <si>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</si>
  <si>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</si>
  <si>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</si>
  <si>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</si>
  <si>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</si>
  <si>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</si>
  <si>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</si>
  <si>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</si>
  <si>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</si>
  <si>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</si>
  <si>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</si>
  <si>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</si>
  <si>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</si>
  <si>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</si>
  <si>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</si>
  <si>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</si>
  <si>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</si>
  <si>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</si>
  <si>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</si>
  <si>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</si>
  <si>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</si>
  <si>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</si>
  <si>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</si>
  <si>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</si>
  <si>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</si>
  <si>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</si>
  <si>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</si>
  <si>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</si>
  <si>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</si>
  <si>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</si>
  <si>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</si>
  <si>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</si>
  <si>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</si>
  <si>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</si>
  <si>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</si>
  <si>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</si>
  <si>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</si>
  <si>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</si>
  <si>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</si>
  <si>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</si>
  <si>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</si>
  <si>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</si>
  <si>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</si>
  <si>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</si>
  <si>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</si>
  <si>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</si>
  <si>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</si>
  <si>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</si>
  <si>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</si>
  <si>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</si>
  <si>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</si>
  <si>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</si>
  <si>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</si>
  <si>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</si>
  <si>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</si>
  <si>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</si>
  <si>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</si>
  <si>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</si>
  <si>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</si>
  <si>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</si>
  <si>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</si>
  <si>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</si>
  <si>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</si>
  <si>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</si>
  <si>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</si>
  <si>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</si>
  <si>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</si>
  <si>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</si>
  <si>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</si>
  <si>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</si>
  <si>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</si>
  <si>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</si>
  <si>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</si>
  <si>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</si>
  <si>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</si>
  <si>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</si>
  <si>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</si>
  <si>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</si>
  <si>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</si>
  <si>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</si>
  <si>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</si>
  <si>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</si>
  <si>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</si>
  <si>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</si>
  <si>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</si>
  <si>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</si>
  <si>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</si>
  <si>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</si>
  <si>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</si>
  <si>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</si>
  <si>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</si>
  <si>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</si>
  <si>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</si>
  <si>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</si>
  <si>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</si>
  <si>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</si>
  <si>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</si>
  <si>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</si>
  <si>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</si>
  <si>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</si>
  <si>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</si>
  <si>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</si>
  <si>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</si>
  <si>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</si>
  <si>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</si>
  <si>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</si>
  <si>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</si>
  <si>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</si>
  <si>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</si>
  <si>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</si>
  <si>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</si>
  <si>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</si>
  <si>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</si>
  <si>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</si>
  <si>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</si>
  <si>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</si>
  <si>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</si>
  <si>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</si>
  <si>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</si>
  <si>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</si>
  <si>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</si>
  <si>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</si>
  <si>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</si>
  <si>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</si>
  <si>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</si>
  <si>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</si>
  <si>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</si>
  <si>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</si>
  <si>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</si>
  <si>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</si>
  <si>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</si>
  <si>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</si>
  <si>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</si>
  <si>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</si>
  <si>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</si>
  <si>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</si>
  <si>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</si>
  <si>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</si>
  <si>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</si>
  <si>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</si>
  <si>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</si>
  <si>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</si>
  <si>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</si>
  <si>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</si>
  <si>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</si>
  <si>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</si>
  <si>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</si>
  <si>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</si>
  <si>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</si>
  <si>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</si>
  <si>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</si>
  <si>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</si>
  <si>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</si>
  <si>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</si>
  <si>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</si>
  <si>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</si>
  <si>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</si>
  <si>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</si>
  <si>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</si>
  <si>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</si>
  <si>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</si>
  <si>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</si>
  <si>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</si>
  <si>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</si>
  <si>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</si>
  <si>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</si>
  <si>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</si>
  <si>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</si>
  <si>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</si>
  <si>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</si>
  <si>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</si>
  <si>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</si>
  <si>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</si>
  <si>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</si>
  <si>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</si>
  <si>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</si>
  <si>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</si>
  <si>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</si>
  <si>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</si>
  <si>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</si>
  <si>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</si>
  <si>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</si>
  <si>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</si>
  <si>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</si>
  <si>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</si>
  <si>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</si>
  <si>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</si>
  <si>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</si>
  <si>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</si>
  <si>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</si>
  <si>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</si>
  <si>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</si>
  <si>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</si>
  <si>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</si>
  <si>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</si>
  <si>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</si>
  <si>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</si>
  <si>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</si>
  <si>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</si>
  <si>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</si>
  <si>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</si>
  <si>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</si>
  <si>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</si>
  <si>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</si>
  <si>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</si>
  <si>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</si>
  <si>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</si>
  <si>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</si>
  <si>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</si>
  <si>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</si>
  <si>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</si>
  <si>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</si>
  <si>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</si>
  <si>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</si>
  <si>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</si>
  <si>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</si>
  <si>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</si>
  <si>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</si>
  <si>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</si>
  <si>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</si>
  <si>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</si>
  <si>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</si>
  <si>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</si>
  <si>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</si>
  <si>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</si>
  <si>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</si>
  <si>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</si>
  <si>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</si>
  <si>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</si>
  <si>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</si>
  <si>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</si>
  <si>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</si>
  <si>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</si>
  <si>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</si>
  <si>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</si>
  <si>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</si>
  <si>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</si>
  <si>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</si>
  <si>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</si>
  <si>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</si>
  <si>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</si>
  <si>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</si>
  <si>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</si>
  <si>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</si>
  <si>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</si>
  <si>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</si>
  <si>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</si>
  <si>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</si>
  <si>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</si>
  <si>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</si>
  <si>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</si>
  <si>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</si>
  <si>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</si>
  <si>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</si>
  <si>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</si>
  <si>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</si>
  <si>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</si>
  <si>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</si>
  <si>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</si>
  <si>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</si>
  <si>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</si>
  <si>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</si>
  <si>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</si>
  <si>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</si>
  <si>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</si>
  <si>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</si>
  <si>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</si>
  <si>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</si>
  <si>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</si>
  <si>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</si>
  <si>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</si>
  <si>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</si>
  <si>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</si>
  <si>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</si>
  <si>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</si>
  <si>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</si>
  <si>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</si>
  <si>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</si>
  <si>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</si>
  <si>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</si>
  <si>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</si>
  <si>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</si>
  <si>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</si>
  <si>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</si>
  <si>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</si>
  <si>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</si>
  <si>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</si>
  <si>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</si>
  <si>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</si>
  <si>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</si>
  <si>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</si>
  <si>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</si>
  <si>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</si>
  <si>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</si>
  <si>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</si>
  <si>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</si>
  <si>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</si>
  <si>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</si>
  <si>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</si>
  <si>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</si>
  <si>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</si>
  <si>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</si>
  <si>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</si>
  <si>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</si>
  <si>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</si>
  <si>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</si>
  <si>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</si>
  <si>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</si>
  <si>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</si>
  <si>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</si>
  <si>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</si>
  <si>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</si>
  <si>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</si>
  <si>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</si>
  <si>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</si>
  <si>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</si>
  <si>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</si>
  <si>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</si>
  <si>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</si>
  <si>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</si>
  <si>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</si>
  <si>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</si>
  <si>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</si>
  <si>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</si>
  <si>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</si>
  <si>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</si>
  <si>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</si>
  <si>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</si>
  <si>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</si>
  <si>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</si>
  <si>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</si>
  <si>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</si>
  <si>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</si>
  <si>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</si>
  <si>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</si>
  <si>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</si>
  <si>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</si>
  <si>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</si>
  <si>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</si>
  <si>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</si>
  <si>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</si>
  <si>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</si>
  <si>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</si>
  <si>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</si>
  <si>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</si>
  <si>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</si>
  <si>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</si>
  <si>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</si>
  <si>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</si>
  <si>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</si>
  <si>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</si>
  <si>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</si>
  <si>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</si>
  <si>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</si>
  <si>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</si>
  <si>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</si>
  <si>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</si>
  <si>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</si>
  <si>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</si>
  <si>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</si>
  <si>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</si>
  <si>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</si>
  <si>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</si>
  <si>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</si>
  <si>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</si>
  <si>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</si>
  <si>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</si>
  <si>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</si>
  <si>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</si>
  <si>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</si>
  <si>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</si>
  <si>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</si>
  <si>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</si>
  <si>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</si>
  <si>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</si>
  <si>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</si>
  <si>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</si>
  <si>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</si>
  <si>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</si>
  <si>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</si>
  <si>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</si>
  <si>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</si>
  <si>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</si>
  <si>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</si>
  <si>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</si>
  <si>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</si>
  <si>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</si>
  <si>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</si>
  <si>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</si>
  <si>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</si>
  <si>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</si>
  <si>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</si>
  <si>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</si>
  <si>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</si>
  <si>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</si>
  <si>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</si>
  <si>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</si>
  <si>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</si>
  <si>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</si>
  <si>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</si>
  <si>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</si>
  <si>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</si>
  <si>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</si>
  <si>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</si>
  <si>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</si>
  <si>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</si>
  <si>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</si>
  <si>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</si>
  <si>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</si>
  <si>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</si>
  <si>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</si>
  <si>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</si>
  <si>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</si>
  <si>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</si>
  <si>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</si>
  <si>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</si>
  <si>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</si>
  <si>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</si>
  <si>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</si>
  <si>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</si>
  <si>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</si>
  <si>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</si>
  <si>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</si>
  <si>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</si>
  <si>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</si>
  <si>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</si>
  <si>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</si>
  <si>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</si>
  <si>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</si>
  <si>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</si>
  <si>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</si>
  <si>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</si>
  <si>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</si>
  <si>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</si>
  <si>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</si>
  <si>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</si>
  <si>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</si>
  <si>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</si>
  <si>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</si>
  <si>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</si>
  <si>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</si>
  <si>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</si>
  <si>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</si>
  <si>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</si>
  <si>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</si>
  <si>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</si>
  <si>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WILLIAMNYS ANDEYMAR</t>
  </si>
  <si>
    <t>JÉINDER GABRIEL</t>
  </si>
  <si>
    <t>SANTIAGO ALONSO</t>
  </si>
  <si>
    <t>LEONELA ALEJANDRA</t>
  </si>
  <si>
    <t>NICOLL ALEJANDRA</t>
  </si>
  <si>
    <t>CRISTIAN LEANDRO</t>
  </si>
  <si>
    <t>LUIS MANUEL</t>
  </si>
  <si>
    <t>GREINELYS NAZARETH</t>
  </si>
  <si>
    <t>BÁRBARA JOSEFINA</t>
  </si>
  <si>
    <t>LUISMARY ALEXANDRA</t>
  </si>
  <si>
    <t>CÉSAR MANUEL</t>
  </si>
  <si>
    <t>GABRIELA VICTORIA</t>
  </si>
  <si>
    <t>ÉDGAR ALEXÁNDER</t>
  </si>
  <si>
    <t>CAMILA VALERIA</t>
  </si>
  <si>
    <t>ASHLEY VALENTINA</t>
  </si>
  <si>
    <t>JUAN JOSÉ</t>
  </si>
  <si>
    <t>SANTIAGO ALEXÁNDER</t>
  </si>
  <si>
    <t>DIEGO ALEXÁNDER</t>
  </si>
  <si>
    <t>ANTHONELLA ROSELIANNYS</t>
  </si>
  <si>
    <t>CHRÍSTOPHER ADALBERTO</t>
  </si>
  <si>
    <t>ALEJANDRA WILSIRET</t>
  </si>
  <si>
    <t>ROBERTH DAVID</t>
  </si>
  <si>
    <t>FIORELLA ELIZABETH</t>
  </si>
  <si>
    <t>DANIELA BELÉN</t>
  </si>
  <si>
    <t>MARIÁNGELES ANADIT</t>
  </si>
  <si>
    <t>VÍCTOR ALONSO</t>
  </si>
  <si>
    <t>NOHELIA STEFANÍA</t>
  </si>
  <si>
    <t>VALESKA NAZARETH</t>
  </si>
  <si>
    <t>JULIA ISABEL</t>
  </si>
  <si>
    <t>WILBER ALEXÁNDER</t>
  </si>
  <si>
    <t>PALACIOS GONZÁLEZ</t>
  </si>
  <si>
    <t>ÁLVAREZ PÉREZ</t>
  </si>
  <si>
    <t>REBOLLEDO HERRERA</t>
  </si>
  <si>
    <t>HURTADO RUIZ</t>
  </si>
  <si>
    <t>CONTRERAS IDIMA</t>
  </si>
  <si>
    <t>MUJICA VARGAS</t>
  </si>
  <si>
    <t>PALACIOS REVERÓN</t>
  </si>
  <si>
    <t>RON MORALES</t>
  </si>
  <si>
    <t>SILVA GÓMEZ</t>
  </si>
  <si>
    <t>HERNÁNDEZ ALMEIDA</t>
  </si>
  <si>
    <t>GONCALVES ALAYÓN</t>
  </si>
  <si>
    <t>BOYER GONCALVES</t>
  </si>
  <si>
    <t>RODRÍGUEZ ZARRAMERA</t>
  </si>
  <si>
    <t>VILLASANA CABELLO</t>
  </si>
  <si>
    <t>RUIZ GARCÍA</t>
  </si>
  <si>
    <t>GIL HERNÁNDEZ</t>
  </si>
  <si>
    <t>VELÁSQUEZ COLMENARES</t>
  </si>
  <si>
    <t>CASTRO ROSILLO</t>
  </si>
  <si>
    <t>CASTRO YNFANTE</t>
  </si>
  <si>
    <t>MARÍN FERNÁNDEZ</t>
  </si>
  <si>
    <t>DE ÁNGELIS PÉREZ</t>
  </si>
  <si>
    <t>DEL CORRAL</t>
  </si>
  <si>
    <t>GUARAPANO FIGUEROA</t>
  </si>
  <si>
    <t>BOCCHINO PÉREZ</t>
  </si>
  <si>
    <t>CASTIGLIONE ZERPA</t>
  </si>
  <si>
    <t>HERRERA SIFONTES</t>
  </si>
  <si>
    <t>QUINTANA MARRUFO</t>
  </si>
  <si>
    <t>MUÑOZ VELASCO</t>
  </si>
  <si>
    <t>2009-10-27</t>
  </si>
  <si>
    <t>2011-03-16</t>
  </si>
  <si>
    <t>2011-07-29</t>
  </si>
  <si>
    <t>2011-01-09</t>
  </si>
  <si>
    <t>2011-09-24</t>
  </si>
  <si>
    <t>2012-01-05</t>
  </si>
  <si>
    <t>2011-04-15</t>
  </si>
  <si>
    <t>2011-01-28</t>
  </si>
  <si>
    <t>2011-04-29</t>
  </si>
  <si>
    <t>2011-04-04</t>
  </si>
  <si>
    <t>2011-04-08</t>
  </si>
  <si>
    <t>2011-12-31</t>
  </si>
  <si>
    <t>2011-04-27</t>
  </si>
  <si>
    <t>2011-06-20</t>
  </si>
  <si>
    <t>2011-10-07</t>
  </si>
  <si>
    <t>2011-03-28</t>
  </si>
  <si>
    <t>2011-11-17</t>
  </si>
  <si>
    <t>2011-02-10</t>
  </si>
  <si>
    <t>2011-09-27</t>
  </si>
  <si>
    <t>2011-11-30</t>
  </si>
  <si>
    <t>2011-10-06</t>
  </si>
  <si>
    <t>2011-01-01</t>
  </si>
  <si>
    <t>2011-04-20</t>
  </si>
  <si>
    <t>2011-12-27</t>
  </si>
  <si>
    <t>2011-12-06</t>
  </si>
  <si>
    <t>GUÁRICO</t>
  </si>
  <si>
    <t>JOSÉ TADEO MONAGAS</t>
  </si>
  <si>
    <t>DORBELYS COROMOTO</t>
  </si>
  <si>
    <t>GONZÁLEZ TIAPA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</si>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</sst>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selection activeCell="AE38" sqref="AE38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1207</v>
      </c>
      <c r="C4" s="3" t="s">
        <v>48</v>
      </c>
      <c r="D4" s="3">
        <v>33617394</v>
      </c>
      <c r="E4" s="3" t="s">
        <v>59</v>
      </c>
      <c r="F4" s="3" t="s">
        <v>1235</v>
      </c>
      <c r="G4" s="3" t="s">
        <v>1260</v>
      </c>
      <c r="H4" s="3" t="s">
        <v>1261</v>
      </c>
      <c r="I4" s="3" t="str">
        <f t="shared" ref="I4:I67" si="0">IF($A4&lt;&gt;"","Altagracia de Orituco","")</f>
        <v>Altagracia de Orituco</v>
      </c>
      <c r="J4" s="3" t="str">
        <f t="shared" ref="J4:J67" si="1">IF($A4&lt;&gt;"","Guárico","")</f>
        <v>Guárico</v>
      </c>
      <c r="K4" s="3" t="s">
        <v>302</v>
      </c>
      <c r="L4" s="3" t="str">
        <f t="shared" ref="L4:L67" si="2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3">IF($A4&lt;&gt;"","2025-2026","")</f>
        <v>2025-2026</v>
      </c>
      <c r="S4" s="3" t="s">
        <v>65</v>
      </c>
      <c r="T4" s="3"/>
      <c r="U4" s="3" t="s">
        <v>47</v>
      </c>
      <c r="V4" s="3" t="s">
        <v>50</v>
      </c>
      <c r="W4" s="3" t="s">
        <v>48</v>
      </c>
      <c r="X4" s="3">
        <v>18351223</v>
      </c>
      <c r="Y4" s="3" t="s">
        <v>1262</v>
      </c>
      <c r="Z4" s="3" t="s">
        <v>1263</v>
      </c>
      <c r="AA4" s="3"/>
      <c r="AB4" s="3"/>
      <c r="AC4" s="3"/>
      <c r="AD4" s="3"/>
      <c r="AE4" s="3" t="str">
        <f t="shared" ref="AE4:AE67" si="4">IF($Y4&lt;&gt;"","Guárico","")</f>
        <v>Guárico</v>
      </c>
      <c r="AF4" s="3" t="s">
        <v>302</v>
      </c>
      <c r="AG4" s="3" t="str">
        <f t="shared" ref="AG4:AG67" si="5">IF($Y4&lt;&gt;"","Altagracia de Orituco","")</f>
        <v>Altagracia de Orituco</v>
      </c>
    </row>
    <row r="5" spans="1:33" x14ac:dyDescent="0.25">
      <c r="A5" s="3" t="s">
        <v>1178</v>
      </c>
      <c r="B5" s="3" t="s">
        <v>1208</v>
      </c>
      <c r="C5" s="3" t="s">
        <v>48</v>
      </c>
      <c r="D5" s="3">
        <v>33886674</v>
      </c>
      <c r="E5" s="3" t="s">
        <v>49</v>
      </c>
      <c r="F5" s="3" t="s">
        <v>1236</v>
      </c>
      <c r="G5" s="3" t="s">
        <v>1260</v>
      </c>
      <c r="H5" s="3" t="s">
        <v>1261</v>
      </c>
      <c r="I5" s="3" t="str">
        <f t="shared" si="0"/>
        <v>Altagracia de Orituco</v>
      </c>
      <c r="J5" s="3" t="str">
        <f t="shared" si="1"/>
        <v>Guárico</v>
      </c>
      <c r="K5" s="3" t="s">
        <v>302</v>
      </c>
      <c r="L5" s="3" t="str">
        <f t="shared" si="2"/>
        <v>Altagracia de Orituco</v>
      </c>
      <c r="M5" s="3"/>
      <c r="N5" s="3"/>
      <c r="O5" s="3"/>
      <c r="P5" s="3"/>
      <c r="Q5" s="3"/>
      <c r="R5" s="3" t="str">
        <f t="shared" si="3"/>
        <v>2025-2026</v>
      </c>
      <c r="S5" s="3" t="s">
        <v>65</v>
      </c>
      <c r="T5" s="3"/>
      <c r="U5" s="3" t="s">
        <v>47</v>
      </c>
      <c r="V5" s="3" t="s">
        <v>82</v>
      </c>
      <c r="W5" s="3" t="s">
        <v>67</v>
      </c>
      <c r="X5" s="3">
        <v>7</v>
      </c>
      <c r="Y5" s="3" t="s">
        <v>1264</v>
      </c>
      <c r="Z5" s="3" t="s">
        <v>1265</v>
      </c>
      <c r="AA5" s="3"/>
      <c r="AB5" s="3"/>
      <c r="AC5" s="3"/>
      <c r="AD5" s="3"/>
      <c r="AE5" s="3" t="s">
        <v>51</v>
      </c>
      <c r="AF5" s="3" t="s">
        <v>112</v>
      </c>
      <c r="AG5" s="3" t="str">
        <f t="shared" si="5"/>
        <v>Altagracia de Orituco</v>
      </c>
    </row>
    <row r="6" spans="1:33" x14ac:dyDescent="0.25">
      <c r="A6" s="3" t="s">
        <v>1179</v>
      </c>
      <c r="B6" s="3" t="s">
        <v>1209</v>
      </c>
      <c r="C6" s="3" t="s">
        <v>48</v>
      </c>
      <c r="D6" s="3">
        <v>33952333</v>
      </c>
      <c r="E6" s="3" t="s">
        <v>49</v>
      </c>
      <c r="F6" s="3" t="s">
        <v>1237</v>
      </c>
      <c r="G6" s="3" t="s">
        <v>1260</v>
      </c>
      <c r="H6" s="3" t="s">
        <v>1261</v>
      </c>
      <c r="I6" s="3" t="str">
        <f t="shared" si="0"/>
        <v>Altagracia de Orituco</v>
      </c>
      <c r="J6" s="3" t="str">
        <f t="shared" si="1"/>
        <v>Guárico</v>
      </c>
      <c r="K6" s="3" t="s">
        <v>302</v>
      </c>
      <c r="L6" s="3" t="str">
        <f t="shared" si="2"/>
        <v>Altagracia de Orituco</v>
      </c>
      <c r="M6" s="3"/>
      <c r="N6" s="3"/>
      <c r="O6" s="3"/>
      <c r="P6" s="3"/>
      <c r="Q6" s="3"/>
      <c r="R6" s="3" t="str">
        <f t="shared" si="3"/>
        <v>2025-2026</v>
      </c>
      <c r="S6" s="3" t="s">
        <v>65</v>
      </c>
      <c r="T6" s="3"/>
      <c r="U6" s="3" t="s">
        <v>47</v>
      </c>
      <c r="V6" s="3" t="s">
        <v>82</v>
      </c>
      <c r="W6" s="3" t="s">
        <v>67</v>
      </c>
      <c r="X6" s="3">
        <v>7</v>
      </c>
      <c r="Y6" s="3" t="s">
        <v>1264</v>
      </c>
      <c r="Z6" s="3" t="s">
        <v>1265</v>
      </c>
      <c r="AA6" s="3"/>
      <c r="AB6" s="3"/>
      <c r="AC6" s="3"/>
      <c r="AD6" s="3"/>
      <c r="AE6" s="3" t="s">
        <v>51</v>
      </c>
      <c r="AF6" s="3" t="s">
        <v>112</v>
      </c>
      <c r="AG6" s="3" t="str">
        <f t="shared" si="5"/>
        <v>Altagracia de Orituco</v>
      </c>
    </row>
    <row r="7" spans="1:33" x14ac:dyDescent="0.25">
      <c r="A7" s="3" t="s">
        <v>1180</v>
      </c>
      <c r="B7" s="3" t="s">
        <v>1210</v>
      </c>
      <c r="C7" s="3" t="s">
        <v>48</v>
      </c>
      <c r="D7" s="3">
        <v>33972532</v>
      </c>
      <c r="E7" s="3" t="s">
        <v>59</v>
      </c>
      <c r="F7" s="3" t="s">
        <v>1238</v>
      </c>
      <c r="G7" s="3" t="s">
        <v>1260</v>
      </c>
      <c r="H7" s="3" t="s">
        <v>1261</v>
      </c>
      <c r="I7" s="3" t="str">
        <f t="shared" si="0"/>
        <v>Altagracia de Orituco</v>
      </c>
      <c r="J7" s="3" t="str">
        <f t="shared" si="1"/>
        <v>Guárico</v>
      </c>
      <c r="K7" s="3" t="s">
        <v>302</v>
      </c>
      <c r="L7" s="3" t="str">
        <f t="shared" si="2"/>
        <v>Altagracia de Orituco</v>
      </c>
      <c r="M7" s="3"/>
      <c r="N7" s="3"/>
      <c r="O7" s="3"/>
      <c r="P7" s="3"/>
      <c r="Q7" s="3"/>
      <c r="R7" s="3" t="str">
        <f t="shared" si="3"/>
        <v>2025-2026</v>
      </c>
      <c r="S7" s="3" t="s">
        <v>65</v>
      </c>
      <c r="T7" s="3"/>
      <c r="U7" s="3" t="s">
        <v>47</v>
      </c>
      <c r="V7" s="3" t="s">
        <v>82</v>
      </c>
      <c r="W7" s="3" t="s">
        <v>67</v>
      </c>
      <c r="X7" s="3">
        <v>7</v>
      </c>
      <c r="Y7" s="3" t="s">
        <v>1264</v>
      </c>
      <c r="Z7" s="3" t="s">
        <v>1265</v>
      </c>
      <c r="AA7" s="3"/>
      <c r="AB7" s="3"/>
      <c r="AC7" s="3"/>
      <c r="AD7" s="3"/>
      <c r="AE7" s="3" t="s">
        <v>51</v>
      </c>
      <c r="AF7" s="3" t="s">
        <v>112</v>
      </c>
      <c r="AG7" s="3" t="str">
        <f t="shared" si="5"/>
        <v>Altagracia de Orituco</v>
      </c>
    </row>
    <row r="8" spans="1:33" x14ac:dyDescent="0.25">
      <c r="A8" s="3" t="s">
        <v>1181</v>
      </c>
      <c r="B8" s="3" t="s">
        <v>1210</v>
      </c>
      <c r="C8" s="3" t="s">
        <v>48</v>
      </c>
      <c r="D8" s="3">
        <v>33972534</v>
      </c>
      <c r="E8" s="3" t="s">
        <v>59</v>
      </c>
      <c r="F8" s="3" t="s">
        <v>1238</v>
      </c>
      <c r="G8" s="3" t="s">
        <v>1260</v>
      </c>
      <c r="H8" s="3" t="s">
        <v>1261</v>
      </c>
      <c r="I8" s="3" t="str">
        <f t="shared" si="0"/>
        <v>Altagracia de Orituco</v>
      </c>
      <c r="J8" s="3" t="str">
        <f t="shared" si="1"/>
        <v>Guárico</v>
      </c>
      <c r="K8" s="3" t="s">
        <v>302</v>
      </c>
      <c r="L8" s="3" t="str">
        <f t="shared" si="2"/>
        <v>Altagracia de Orituco</v>
      </c>
      <c r="M8" s="3"/>
      <c r="N8" s="3"/>
      <c r="O8" s="3"/>
      <c r="P8" s="3"/>
      <c r="Q8" s="3"/>
      <c r="R8" s="3" t="str">
        <f t="shared" si="3"/>
        <v>2025-2026</v>
      </c>
      <c r="S8" s="3" t="s">
        <v>65</v>
      </c>
      <c r="T8" s="3"/>
      <c r="U8" s="3" t="s">
        <v>47</v>
      </c>
      <c r="V8" s="3" t="s">
        <v>82</v>
      </c>
      <c r="W8" s="3" t="s">
        <v>67</v>
      </c>
      <c r="X8" s="3">
        <v>7</v>
      </c>
      <c r="Y8" s="3" t="s">
        <v>1264</v>
      </c>
      <c r="Z8" s="3" t="s">
        <v>1265</v>
      </c>
      <c r="AA8" s="3"/>
      <c r="AB8" s="3"/>
      <c r="AC8" s="3"/>
      <c r="AD8" s="3"/>
      <c r="AE8" s="3" t="s">
        <v>51</v>
      </c>
      <c r="AF8" s="3" t="s">
        <v>112</v>
      </c>
      <c r="AG8" s="3" t="str">
        <f t="shared" si="5"/>
        <v>Altagracia de Orituco</v>
      </c>
    </row>
    <row r="9" spans="1:33" x14ac:dyDescent="0.25">
      <c r="A9" s="3" t="s">
        <v>1182</v>
      </c>
      <c r="B9" s="3" t="s">
        <v>1211</v>
      </c>
      <c r="C9" s="3" t="s">
        <v>48</v>
      </c>
      <c r="D9" s="3">
        <v>34006009</v>
      </c>
      <c r="E9" s="3" t="s">
        <v>49</v>
      </c>
      <c r="F9" s="3" t="s">
        <v>1239</v>
      </c>
      <c r="G9" s="3" t="s">
        <v>1260</v>
      </c>
      <c r="H9" s="3" t="s">
        <v>1261</v>
      </c>
      <c r="I9" s="3" t="str">
        <f t="shared" si="0"/>
        <v>Altagracia de Orituco</v>
      </c>
      <c r="J9" s="3" t="str">
        <f t="shared" si="1"/>
        <v>Guárico</v>
      </c>
      <c r="K9" s="3" t="s">
        <v>302</v>
      </c>
      <c r="L9" s="3" t="str">
        <f t="shared" si="2"/>
        <v>Altagracia de Orituco</v>
      </c>
      <c r="M9" s="3"/>
      <c r="N9" s="3"/>
      <c r="O9" s="3"/>
      <c r="P9" s="3"/>
      <c r="Q9" s="3"/>
      <c r="R9" s="3" t="str">
        <f t="shared" si="3"/>
        <v>2025-2026</v>
      </c>
      <c r="S9" s="3" t="s">
        <v>65</v>
      </c>
      <c r="T9" s="3"/>
      <c r="U9" s="3" t="s">
        <v>47</v>
      </c>
      <c r="V9" s="3" t="s">
        <v>82</v>
      </c>
      <c r="W9" s="3" t="s">
        <v>67</v>
      </c>
      <c r="X9" s="3">
        <v>7</v>
      </c>
      <c r="Y9" s="3" t="s">
        <v>1264</v>
      </c>
      <c r="Z9" s="3" t="s">
        <v>1265</v>
      </c>
      <c r="AA9" s="3"/>
      <c r="AB9" s="3"/>
      <c r="AC9" s="3"/>
      <c r="AD9" s="3"/>
      <c r="AE9" s="3" t="s">
        <v>51</v>
      </c>
      <c r="AF9" s="3" t="s">
        <v>112</v>
      </c>
      <c r="AG9" s="3" t="str">
        <f t="shared" si="5"/>
        <v>Altagracia de Orituco</v>
      </c>
    </row>
    <row r="10" spans="1:33" x14ac:dyDescent="0.25">
      <c r="A10" s="3" t="s">
        <v>1183</v>
      </c>
      <c r="B10" s="3" t="s">
        <v>1212</v>
      </c>
      <c r="C10" s="3" t="s">
        <v>48</v>
      </c>
      <c r="D10" s="3">
        <v>34006387</v>
      </c>
      <c r="E10" s="3" t="s">
        <v>49</v>
      </c>
      <c r="F10" s="3" t="s">
        <v>1240</v>
      </c>
      <c r="G10" s="3" t="s">
        <v>1260</v>
      </c>
      <c r="H10" s="3" t="s">
        <v>1261</v>
      </c>
      <c r="I10" s="3" t="str">
        <f t="shared" si="0"/>
        <v>Altagracia de Orituco</v>
      </c>
      <c r="J10" s="3" t="str">
        <f t="shared" si="1"/>
        <v>Guárico</v>
      </c>
      <c r="K10" s="3" t="s">
        <v>302</v>
      </c>
      <c r="L10" s="3" t="str">
        <f t="shared" si="2"/>
        <v>Altagracia de Orituco</v>
      </c>
      <c r="M10" s="3"/>
      <c r="N10" s="3"/>
      <c r="O10" s="3"/>
      <c r="P10" s="3"/>
      <c r="Q10" s="3"/>
      <c r="R10" s="3" t="str">
        <f t="shared" si="3"/>
        <v>2025-2026</v>
      </c>
      <c r="S10" s="3" t="s">
        <v>65</v>
      </c>
      <c r="T10" s="3"/>
      <c r="U10" s="3" t="s">
        <v>47</v>
      </c>
      <c r="V10" s="3" t="s">
        <v>82</v>
      </c>
      <c r="W10" s="3" t="s">
        <v>67</v>
      </c>
      <c r="X10" s="3">
        <v>7</v>
      </c>
      <c r="Y10" s="3" t="s">
        <v>1264</v>
      </c>
      <c r="Z10" s="3" t="s">
        <v>1265</v>
      </c>
      <c r="AA10" s="3"/>
      <c r="AB10" s="3"/>
      <c r="AC10" s="3"/>
      <c r="AD10" s="3"/>
      <c r="AE10" s="3" t="s">
        <v>51</v>
      </c>
      <c r="AF10" s="3" t="s">
        <v>112</v>
      </c>
      <c r="AG10" s="3" t="str">
        <f t="shared" si="5"/>
        <v>Altagracia de Orituco</v>
      </c>
    </row>
    <row r="11" spans="1:33" x14ac:dyDescent="0.25">
      <c r="A11" s="3" t="s">
        <v>1184</v>
      </c>
      <c r="B11" s="3" t="s">
        <v>1213</v>
      </c>
      <c r="C11" s="3" t="s">
        <v>48</v>
      </c>
      <c r="D11" s="3">
        <v>34006895</v>
      </c>
      <c r="E11" s="3" t="s">
        <v>59</v>
      </c>
      <c r="F11" s="3" t="s">
        <v>1241</v>
      </c>
      <c r="G11" s="3" t="s">
        <v>1260</v>
      </c>
      <c r="H11" s="3" t="s">
        <v>1261</v>
      </c>
      <c r="I11" s="3" t="str">
        <f t="shared" si="0"/>
        <v>Altagracia de Orituco</v>
      </c>
      <c r="J11" s="3" t="str">
        <f t="shared" si="1"/>
        <v>Guárico</v>
      </c>
      <c r="K11" s="3" t="s">
        <v>302</v>
      </c>
      <c r="L11" s="3" t="str">
        <f t="shared" si="2"/>
        <v>Altagracia de Orituco</v>
      </c>
      <c r="M11" s="3"/>
      <c r="N11" s="3"/>
      <c r="O11" s="3"/>
      <c r="P11" s="3"/>
      <c r="Q11" s="3"/>
      <c r="R11" s="3" t="str">
        <f t="shared" si="3"/>
        <v>2025-2026</v>
      </c>
      <c r="S11" s="3" t="s">
        <v>65</v>
      </c>
      <c r="T11" s="3"/>
      <c r="U11" s="3" t="s">
        <v>47</v>
      </c>
      <c r="V11" s="3" t="s">
        <v>82</v>
      </c>
      <c r="W11" s="3" t="s">
        <v>67</v>
      </c>
      <c r="X11" s="3">
        <v>7</v>
      </c>
      <c r="Y11" s="3" t="s">
        <v>1264</v>
      </c>
      <c r="Z11" s="3" t="s">
        <v>1265</v>
      </c>
      <c r="AA11" s="3"/>
      <c r="AB11" s="3"/>
      <c r="AC11" s="3"/>
      <c r="AD11" s="3"/>
      <c r="AE11" s="3" t="s">
        <v>51</v>
      </c>
      <c r="AF11" s="3" t="s">
        <v>112</v>
      </c>
      <c r="AG11" s="3" t="str">
        <f t="shared" si="5"/>
        <v>Altagracia de Orituco</v>
      </c>
    </row>
    <row r="12" spans="1:33" x14ac:dyDescent="0.25">
      <c r="A12" s="3" t="s">
        <v>1185</v>
      </c>
      <c r="B12" s="3" t="s">
        <v>1214</v>
      </c>
      <c r="C12" s="3" t="s">
        <v>48</v>
      </c>
      <c r="D12" s="3">
        <v>34009245</v>
      </c>
      <c r="E12" s="3" t="s">
        <v>59</v>
      </c>
      <c r="F12" s="3" t="s">
        <v>1242</v>
      </c>
      <c r="G12" s="3" t="s">
        <v>1260</v>
      </c>
      <c r="H12" s="3" t="s">
        <v>1261</v>
      </c>
      <c r="I12" s="3" t="str">
        <f t="shared" si="0"/>
        <v>Altagracia de Orituco</v>
      </c>
      <c r="J12" s="3" t="str">
        <f t="shared" si="1"/>
        <v>Guárico</v>
      </c>
      <c r="K12" s="3" t="s">
        <v>302</v>
      </c>
      <c r="L12" s="3" t="str">
        <f t="shared" si="2"/>
        <v>Altagracia de Orituco</v>
      </c>
      <c r="M12" s="3"/>
      <c r="N12" s="3"/>
      <c r="O12" s="3"/>
      <c r="P12" s="3"/>
      <c r="Q12" s="3"/>
      <c r="R12" s="3" t="str">
        <f t="shared" si="3"/>
        <v>2025-2026</v>
      </c>
      <c r="S12" s="3" t="s">
        <v>65</v>
      </c>
      <c r="T12" s="3"/>
      <c r="U12" s="3" t="s">
        <v>47</v>
      </c>
      <c r="V12" s="3" t="s">
        <v>82</v>
      </c>
      <c r="W12" s="3" t="s">
        <v>67</v>
      </c>
      <c r="X12" s="3">
        <v>7</v>
      </c>
      <c r="Y12" s="3" t="s">
        <v>1264</v>
      </c>
      <c r="Z12" s="3" t="s">
        <v>1265</v>
      </c>
      <c r="AA12" s="3"/>
      <c r="AB12" s="3"/>
      <c r="AC12" s="3"/>
      <c r="AD12" s="3"/>
      <c r="AE12" s="3" t="s">
        <v>51</v>
      </c>
      <c r="AF12" s="3" t="s">
        <v>112</v>
      </c>
      <c r="AG12" s="3" t="str">
        <f t="shared" si="5"/>
        <v>Altagracia de Orituco</v>
      </c>
    </row>
    <row r="13" spans="1:33" x14ac:dyDescent="0.25">
      <c r="A13" s="3" t="s">
        <v>1186</v>
      </c>
      <c r="B13" s="3" t="s">
        <v>1215</v>
      </c>
      <c r="C13" s="3" t="s">
        <v>48</v>
      </c>
      <c r="D13" s="3">
        <v>34029988</v>
      </c>
      <c r="E13" s="3" t="s">
        <v>59</v>
      </c>
      <c r="F13" s="3" t="s">
        <v>1243</v>
      </c>
      <c r="G13" s="3" t="s">
        <v>1260</v>
      </c>
      <c r="H13" s="3" t="s">
        <v>1261</v>
      </c>
      <c r="I13" s="3" t="str">
        <f t="shared" si="0"/>
        <v>Altagracia de Orituco</v>
      </c>
      <c r="J13" s="3" t="str">
        <f t="shared" si="1"/>
        <v>Guárico</v>
      </c>
      <c r="K13" s="3" t="s">
        <v>302</v>
      </c>
      <c r="L13" s="3" t="str">
        <f t="shared" si="2"/>
        <v>Altagracia de Orituco</v>
      </c>
      <c r="M13" s="3"/>
      <c r="N13" s="3"/>
      <c r="O13" s="3"/>
      <c r="P13" s="3"/>
      <c r="Q13" s="3"/>
      <c r="R13" s="3" t="str">
        <f t="shared" si="3"/>
        <v>2025-2026</v>
      </c>
      <c r="S13" s="3" t="s">
        <v>65</v>
      </c>
      <c r="T13" s="3"/>
      <c r="U13" s="3" t="s">
        <v>47</v>
      </c>
      <c r="V13" s="3" t="s">
        <v>82</v>
      </c>
      <c r="W13" s="3" t="s">
        <v>67</v>
      </c>
      <c r="X13" s="3">
        <v>7</v>
      </c>
      <c r="Y13" s="3" t="s">
        <v>1264</v>
      </c>
      <c r="Z13" s="3" t="s">
        <v>1265</v>
      </c>
      <c r="AA13" s="3"/>
      <c r="AB13" s="3"/>
      <c r="AC13" s="3"/>
      <c r="AD13" s="3"/>
      <c r="AE13" s="3" t="s">
        <v>51</v>
      </c>
      <c r="AF13" s="3" t="s">
        <v>112</v>
      </c>
      <c r="AG13" s="3" t="str">
        <f t="shared" si="5"/>
        <v>Altagracia de Orituco</v>
      </c>
    </row>
    <row r="14" spans="1:33" x14ac:dyDescent="0.25">
      <c r="A14" s="3" t="s">
        <v>1187</v>
      </c>
      <c r="B14" s="3" t="s">
        <v>1216</v>
      </c>
      <c r="C14" s="3" t="s">
        <v>48</v>
      </c>
      <c r="D14" s="3">
        <v>34072138</v>
      </c>
      <c r="E14" s="3" t="s">
        <v>49</v>
      </c>
      <c r="F14" s="3" t="s">
        <v>1242</v>
      </c>
      <c r="G14" s="3" t="s">
        <v>1260</v>
      </c>
      <c r="H14" s="3" t="s">
        <v>1261</v>
      </c>
      <c r="I14" s="3" t="str">
        <f t="shared" si="0"/>
        <v>Altagracia de Orituco</v>
      </c>
      <c r="J14" s="3" t="str">
        <f t="shared" si="1"/>
        <v>Guárico</v>
      </c>
      <c r="K14" s="3" t="s">
        <v>302</v>
      </c>
      <c r="L14" s="3" t="str">
        <f t="shared" si="2"/>
        <v>Altagracia de Orituco</v>
      </c>
      <c r="M14" s="3"/>
      <c r="N14" s="3"/>
      <c r="O14" s="3"/>
      <c r="P14" s="3"/>
      <c r="Q14" s="3"/>
      <c r="R14" s="3" t="str">
        <f t="shared" si="3"/>
        <v>2025-2026</v>
      </c>
      <c r="S14" s="3" t="s">
        <v>65</v>
      </c>
      <c r="T14" s="3"/>
      <c r="U14" s="3" t="s">
        <v>47</v>
      </c>
      <c r="V14" s="3" t="s">
        <v>82</v>
      </c>
      <c r="W14" s="3" t="s">
        <v>67</v>
      </c>
      <c r="X14" s="3">
        <v>7</v>
      </c>
      <c r="Y14" s="3" t="s">
        <v>1264</v>
      </c>
      <c r="Z14" s="3" t="s">
        <v>1265</v>
      </c>
      <c r="AA14" s="3"/>
      <c r="AB14" s="3"/>
      <c r="AC14" s="3"/>
      <c r="AD14" s="3"/>
      <c r="AE14" s="3" t="s">
        <v>51</v>
      </c>
      <c r="AF14" s="3" t="s">
        <v>112</v>
      </c>
      <c r="AG14" s="3" t="str">
        <f t="shared" si="5"/>
        <v>Altagracia de Orituco</v>
      </c>
    </row>
    <row r="15" spans="1:33" x14ac:dyDescent="0.25">
      <c r="A15" s="3" t="s">
        <v>1188</v>
      </c>
      <c r="B15" s="3" t="s">
        <v>1217</v>
      </c>
      <c r="C15" s="3" t="s">
        <v>48</v>
      </c>
      <c r="D15" s="3">
        <v>34138126</v>
      </c>
      <c r="E15" s="3" t="s">
        <v>59</v>
      </c>
      <c r="F15" s="3" t="s">
        <v>1244</v>
      </c>
      <c r="G15" s="3" t="s">
        <v>1260</v>
      </c>
      <c r="H15" s="3" t="s">
        <v>1261</v>
      </c>
      <c r="I15" s="3" t="str">
        <f t="shared" si="0"/>
        <v>Altagracia de Orituco</v>
      </c>
      <c r="J15" s="3" t="str">
        <f t="shared" si="1"/>
        <v>Guárico</v>
      </c>
      <c r="K15" s="3" t="s">
        <v>302</v>
      </c>
      <c r="L15" s="3" t="str">
        <f t="shared" si="2"/>
        <v>Altagracia de Orituco</v>
      </c>
      <c r="M15" s="3"/>
      <c r="N15" s="3"/>
      <c r="O15" s="3"/>
      <c r="P15" s="3"/>
      <c r="Q15" s="3"/>
      <c r="R15" s="3" t="str">
        <f t="shared" si="3"/>
        <v>2025-2026</v>
      </c>
      <c r="S15" s="3" t="s">
        <v>65</v>
      </c>
      <c r="T15" s="3"/>
      <c r="U15" s="3" t="s">
        <v>47</v>
      </c>
      <c r="V15" s="3" t="s">
        <v>82</v>
      </c>
      <c r="W15" s="3" t="s">
        <v>67</v>
      </c>
      <c r="X15" s="3">
        <v>7</v>
      </c>
      <c r="Y15" s="3" t="s">
        <v>1264</v>
      </c>
      <c r="Z15" s="3" t="s">
        <v>1265</v>
      </c>
      <c r="AA15" s="3"/>
      <c r="AB15" s="3"/>
      <c r="AC15" s="3"/>
      <c r="AD15" s="3"/>
      <c r="AE15" s="3" t="s">
        <v>51</v>
      </c>
      <c r="AF15" s="3" t="s">
        <v>112</v>
      </c>
      <c r="AG15" s="3" t="str">
        <f t="shared" si="5"/>
        <v>Altagracia de Orituco</v>
      </c>
    </row>
    <row r="16" spans="1:33" x14ac:dyDescent="0.25">
      <c r="A16" s="3" t="s">
        <v>1189</v>
      </c>
      <c r="B16" s="3" t="s">
        <v>1218</v>
      </c>
      <c r="C16" s="3" t="s">
        <v>48</v>
      </c>
      <c r="D16" s="3">
        <v>34138127</v>
      </c>
      <c r="E16" s="3" t="s">
        <v>49</v>
      </c>
      <c r="F16" s="3" t="s">
        <v>1245</v>
      </c>
      <c r="G16" s="3" t="s">
        <v>1260</v>
      </c>
      <c r="H16" s="3" t="s">
        <v>1261</v>
      </c>
      <c r="I16" s="3" t="str">
        <f t="shared" si="0"/>
        <v>Altagracia de Orituco</v>
      </c>
      <c r="J16" s="3" t="str">
        <f t="shared" si="1"/>
        <v>Guárico</v>
      </c>
      <c r="K16" s="3" t="s">
        <v>302</v>
      </c>
      <c r="L16" s="3" t="str">
        <f t="shared" si="2"/>
        <v>Altagracia de Orituco</v>
      </c>
      <c r="M16" s="3"/>
      <c r="N16" s="3"/>
      <c r="O16" s="3"/>
      <c r="P16" s="3"/>
      <c r="Q16" s="3"/>
      <c r="R16" s="3" t="str">
        <f t="shared" si="3"/>
        <v>2025-2026</v>
      </c>
      <c r="S16" s="3" t="s">
        <v>65</v>
      </c>
      <c r="T16" s="3"/>
      <c r="U16" s="3" t="s">
        <v>47</v>
      </c>
      <c r="V16" s="3" t="s">
        <v>82</v>
      </c>
      <c r="W16" s="3" t="s">
        <v>67</v>
      </c>
      <c r="X16" s="3">
        <v>7</v>
      </c>
      <c r="Y16" s="3" t="s">
        <v>1264</v>
      </c>
      <c r="Z16" s="3" t="s">
        <v>1265</v>
      </c>
      <c r="AA16" s="3"/>
      <c r="AB16" s="3"/>
      <c r="AC16" s="3"/>
      <c r="AD16" s="3"/>
      <c r="AE16" s="3" t="s">
        <v>51</v>
      </c>
      <c r="AF16" s="3" t="s">
        <v>112</v>
      </c>
      <c r="AG16" s="3" t="str">
        <f t="shared" si="5"/>
        <v>Altagracia de Orituco</v>
      </c>
    </row>
    <row r="17" spans="1:33" x14ac:dyDescent="0.25">
      <c r="A17" s="3" t="s">
        <v>1190</v>
      </c>
      <c r="B17" s="3" t="s">
        <v>1219</v>
      </c>
      <c r="C17" s="3" t="s">
        <v>48</v>
      </c>
      <c r="D17" s="3">
        <v>34278515</v>
      </c>
      <c r="E17" s="3" t="s">
        <v>59</v>
      </c>
      <c r="F17" s="3" t="s">
        <v>1246</v>
      </c>
      <c r="G17" s="3" t="s">
        <v>1260</v>
      </c>
      <c r="H17" s="3" t="s">
        <v>1261</v>
      </c>
      <c r="I17" s="3" t="str">
        <f t="shared" si="0"/>
        <v>Altagracia de Orituco</v>
      </c>
      <c r="J17" s="3" t="str">
        <f t="shared" si="1"/>
        <v>Guárico</v>
      </c>
      <c r="K17" s="3" t="s">
        <v>302</v>
      </c>
      <c r="L17" s="3" t="str">
        <f t="shared" si="2"/>
        <v>Altagracia de Orituco</v>
      </c>
      <c r="M17" s="3"/>
      <c r="N17" s="3"/>
      <c r="O17" s="3"/>
      <c r="P17" s="3"/>
      <c r="Q17" s="3"/>
      <c r="R17" s="3" t="str">
        <f t="shared" si="3"/>
        <v>2025-2026</v>
      </c>
      <c r="S17" s="3" t="s">
        <v>65</v>
      </c>
      <c r="T17" s="3"/>
      <c r="U17" s="3" t="s">
        <v>47</v>
      </c>
      <c r="V17" s="3" t="s">
        <v>82</v>
      </c>
      <c r="W17" s="3" t="s">
        <v>67</v>
      </c>
      <c r="X17" s="3">
        <v>7</v>
      </c>
      <c r="Y17" s="3" t="s">
        <v>1264</v>
      </c>
      <c r="Z17" s="3" t="s">
        <v>1265</v>
      </c>
      <c r="AA17" s="3"/>
      <c r="AB17" s="3"/>
      <c r="AC17" s="3"/>
      <c r="AD17" s="3"/>
      <c r="AE17" s="3" t="s">
        <v>51</v>
      </c>
      <c r="AF17" s="3" t="s">
        <v>112</v>
      </c>
      <c r="AG17" s="3" t="str">
        <f t="shared" si="5"/>
        <v>Altagracia de Orituco</v>
      </c>
    </row>
    <row r="18" spans="1:33" x14ac:dyDescent="0.25">
      <c r="A18" s="3" t="s">
        <v>1191</v>
      </c>
      <c r="B18" s="3" t="s">
        <v>1220</v>
      </c>
      <c r="C18" s="3" t="s">
        <v>48</v>
      </c>
      <c r="D18" s="3">
        <v>34473815</v>
      </c>
      <c r="E18" s="3" t="s">
        <v>59</v>
      </c>
      <c r="F18" s="3" t="s">
        <v>1247</v>
      </c>
      <c r="G18" s="3" t="s">
        <v>1260</v>
      </c>
      <c r="H18" s="3" t="s">
        <v>1261</v>
      </c>
      <c r="I18" s="3" t="str">
        <f t="shared" si="0"/>
        <v>Altagracia de Orituco</v>
      </c>
      <c r="J18" s="3" t="str">
        <f t="shared" si="1"/>
        <v>Guárico</v>
      </c>
      <c r="K18" s="3" t="s">
        <v>302</v>
      </c>
      <c r="L18" s="3" t="str">
        <f t="shared" si="2"/>
        <v>Altagracia de Orituco</v>
      </c>
      <c r="M18" s="3"/>
      <c r="N18" s="3"/>
      <c r="O18" s="3"/>
      <c r="P18" s="3"/>
      <c r="Q18" s="3"/>
      <c r="R18" s="3" t="str">
        <f t="shared" si="3"/>
        <v>2025-2026</v>
      </c>
      <c r="S18" s="3" t="s">
        <v>65</v>
      </c>
      <c r="T18" s="3"/>
      <c r="U18" s="3" t="s">
        <v>47</v>
      </c>
      <c r="V18" s="3" t="s">
        <v>82</v>
      </c>
      <c r="W18" s="3" t="s">
        <v>67</v>
      </c>
      <c r="X18" s="3">
        <v>7</v>
      </c>
      <c r="Y18" s="3" t="s">
        <v>1264</v>
      </c>
      <c r="Z18" s="3" t="s">
        <v>1265</v>
      </c>
      <c r="AA18" s="3"/>
      <c r="AB18" s="3"/>
      <c r="AC18" s="3"/>
      <c r="AD18" s="3"/>
      <c r="AE18" s="3" t="s">
        <v>51</v>
      </c>
      <c r="AF18" s="3" t="s">
        <v>112</v>
      </c>
      <c r="AG18" s="3" t="str">
        <f t="shared" si="5"/>
        <v>Altagracia de Orituco</v>
      </c>
    </row>
    <row r="19" spans="1:33" x14ac:dyDescent="0.25">
      <c r="A19" s="3" t="s">
        <v>1192</v>
      </c>
      <c r="B19" s="3" t="s">
        <v>1221</v>
      </c>
      <c r="C19" s="3" t="s">
        <v>48</v>
      </c>
      <c r="D19" s="3">
        <v>34486011</v>
      </c>
      <c r="E19" s="3" t="s">
        <v>49</v>
      </c>
      <c r="F19" s="3" t="s">
        <v>1248</v>
      </c>
      <c r="G19" s="3" t="s">
        <v>1260</v>
      </c>
      <c r="H19" s="3" t="s">
        <v>1261</v>
      </c>
      <c r="I19" s="3" t="str">
        <f t="shared" si="0"/>
        <v>Altagracia de Orituco</v>
      </c>
      <c r="J19" s="3" t="str">
        <f t="shared" si="1"/>
        <v>Guárico</v>
      </c>
      <c r="K19" s="3" t="s">
        <v>302</v>
      </c>
      <c r="L19" s="3" t="str">
        <f t="shared" si="2"/>
        <v>Altagracia de Orituco</v>
      </c>
      <c r="M19" s="3"/>
      <c r="N19" s="3"/>
      <c r="O19" s="3"/>
      <c r="P19" s="3"/>
      <c r="Q19" s="3"/>
      <c r="R19" s="3" t="str">
        <f t="shared" si="3"/>
        <v>2025-2026</v>
      </c>
      <c r="S19" s="3" t="s">
        <v>65</v>
      </c>
      <c r="T19" s="3"/>
      <c r="U19" s="3" t="s">
        <v>47</v>
      </c>
      <c r="V19" s="3" t="s">
        <v>82</v>
      </c>
      <c r="W19" s="3" t="s">
        <v>67</v>
      </c>
      <c r="X19" s="3">
        <v>7</v>
      </c>
      <c r="Y19" s="3" t="s">
        <v>1264</v>
      </c>
      <c r="Z19" s="3" t="s">
        <v>1265</v>
      </c>
      <c r="AA19" s="3"/>
      <c r="AB19" s="3"/>
      <c r="AC19" s="3"/>
      <c r="AD19" s="3"/>
      <c r="AE19" s="3" t="s">
        <v>51</v>
      </c>
      <c r="AF19" s="3" t="s">
        <v>112</v>
      </c>
      <c r="AG19" s="3" t="str">
        <f t="shared" si="5"/>
        <v>Altagracia de Orituco</v>
      </c>
    </row>
    <row r="20" spans="1:33" x14ac:dyDescent="0.25">
      <c r="A20" s="3" t="s">
        <v>1193</v>
      </c>
      <c r="B20" s="3" t="s">
        <v>1222</v>
      </c>
      <c r="C20" s="3" t="s">
        <v>48</v>
      </c>
      <c r="D20" s="3">
        <v>34496185</v>
      </c>
      <c r="E20" s="3" t="s">
        <v>49</v>
      </c>
      <c r="F20" s="3" t="s">
        <v>1249</v>
      </c>
      <c r="G20" s="3" t="s">
        <v>1260</v>
      </c>
      <c r="H20" s="3" t="s">
        <v>1261</v>
      </c>
      <c r="I20" s="3" t="str">
        <f t="shared" si="0"/>
        <v>Altagracia de Orituco</v>
      </c>
      <c r="J20" s="3" t="str">
        <f t="shared" si="1"/>
        <v>Guárico</v>
      </c>
      <c r="K20" s="3" t="s">
        <v>302</v>
      </c>
      <c r="L20" s="3" t="str">
        <f t="shared" si="2"/>
        <v>Altagracia de Orituco</v>
      </c>
      <c r="M20" s="3"/>
      <c r="N20" s="3"/>
      <c r="O20" s="3"/>
      <c r="P20" s="3"/>
      <c r="Q20" s="3"/>
      <c r="R20" s="3" t="str">
        <f t="shared" si="3"/>
        <v>2025-2026</v>
      </c>
      <c r="S20" s="3" t="s">
        <v>65</v>
      </c>
      <c r="T20" s="3"/>
      <c r="U20" s="3" t="s">
        <v>47</v>
      </c>
      <c r="V20" s="3" t="s">
        <v>82</v>
      </c>
      <c r="W20" s="3" t="s">
        <v>67</v>
      </c>
      <c r="X20" s="3">
        <v>7</v>
      </c>
      <c r="Y20" s="3" t="s">
        <v>1264</v>
      </c>
      <c r="Z20" s="3" t="s">
        <v>1265</v>
      </c>
      <c r="AA20" s="3"/>
      <c r="AB20" s="3"/>
      <c r="AC20" s="3"/>
      <c r="AD20" s="3"/>
      <c r="AE20" s="3" t="s">
        <v>51</v>
      </c>
      <c r="AF20" s="3" t="s">
        <v>112</v>
      </c>
      <c r="AG20" s="3" t="str">
        <f t="shared" si="5"/>
        <v>Altagracia de Orituco</v>
      </c>
    </row>
    <row r="21" spans="1:33" x14ac:dyDescent="0.25">
      <c r="A21" s="3" t="s">
        <v>1194</v>
      </c>
      <c r="B21" s="3" t="s">
        <v>1223</v>
      </c>
      <c r="C21" s="3" t="s">
        <v>48</v>
      </c>
      <c r="D21" s="3">
        <v>34496191</v>
      </c>
      <c r="E21" s="3" t="s">
        <v>49</v>
      </c>
      <c r="F21" s="3" t="s">
        <v>1250</v>
      </c>
      <c r="G21" s="3" t="s">
        <v>1260</v>
      </c>
      <c r="H21" s="3" t="s">
        <v>1261</v>
      </c>
      <c r="I21" s="3" t="str">
        <f t="shared" si="0"/>
        <v>Altagracia de Orituco</v>
      </c>
      <c r="J21" s="3" t="str">
        <f t="shared" si="1"/>
        <v>Guárico</v>
      </c>
      <c r="K21" s="3" t="s">
        <v>302</v>
      </c>
      <c r="L21" s="3" t="str">
        <f t="shared" si="2"/>
        <v>Altagracia de Orituco</v>
      </c>
      <c r="M21" s="3"/>
      <c r="N21" s="3"/>
      <c r="O21" s="3"/>
      <c r="P21" s="3"/>
      <c r="Q21" s="3"/>
      <c r="R21" s="3" t="str">
        <f t="shared" si="3"/>
        <v>2025-2026</v>
      </c>
      <c r="S21" s="3" t="s">
        <v>65</v>
      </c>
      <c r="T21" s="3"/>
      <c r="U21" s="3" t="s">
        <v>47</v>
      </c>
      <c r="V21" s="3" t="s">
        <v>82</v>
      </c>
      <c r="W21" s="3" t="s">
        <v>67</v>
      </c>
      <c r="X21" s="3">
        <v>7</v>
      </c>
      <c r="Y21" s="3" t="s">
        <v>1264</v>
      </c>
      <c r="Z21" s="3" t="s">
        <v>1265</v>
      </c>
      <c r="AA21" s="3"/>
      <c r="AB21" s="3"/>
      <c r="AC21" s="3"/>
      <c r="AD21" s="3"/>
      <c r="AE21" s="3" t="s">
        <v>51</v>
      </c>
      <c r="AF21" s="3" t="s">
        <v>112</v>
      </c>
      <c r="AG21" s="3" t="str">
        <f t="shared" si="5"/>
        <v>Altagracia de Orituco</v>
      </c>
    </row>
    <row r="22" spans="1:33" x14ac:dyDescent="0.25">
      <c r="A22" s="3" t="s">
        <v>1195</v>
      </c>
      <c r="B22" s="3" t="s">
        <v>1224</v>
      </c>
      <c r="C22" s="3" t="s">
        <v>48</v>
      </c>
      <c r="D22" s="3">
        <v>34516470</v>
      </c>
      <c r="E22" s="3" t="s">
        <v>59</v>
      </c>
      <c r="F22" s="3" t="s">
        <v>1251</v>
      </c>
      <c r="G22" s="3" t="s">
        <v>1260</v>
      </c>
      <c r="H22" s="3" t="s">
        <v>1261</v>
      </c>
      <c r="I22" s="3" t="str">
        <f t="shared" si="0"/>
        <v>Altagracia de Orituco</v>
      </c>
      <c r="J22" s="3" t="str">
        <f t="shared" si="1"/>
        <v>Guárico</v>
      </c>
      <c r="K22" s="3" t="s">
        <v>302</v>
      </c>
      <c r="L22" s="3" t="str">
        <f t="shared" si="2"/>
        <v>Altagracia de Orituco</v>
      </c>
      <c r="M22" s="3"/>
      <c r="N22" s="3"/>
      <c r="O22" s="3"/>
      <c r="P22" s="3"/>
      <c r="Q22" s="3"/>
      <c r="R22" s="3" t="str">
        <f t="shared" si="3"/>
        <v>2025-2026</v>
      </c>
      <c r="S22" s="3" t="s">
        <v>65</v>
      </c>
      <c r="T22" s="3"/>
      <c r="U22" s="3" t="s">
        <v>47</v>
      </c>
      <c r="V22" s="3" t="s">
        <v>82</v>
      </c>
      <c r="W22" s="3" t="s">
        <v>67</v>
      </c>
      <c r="X22" s="3">
        <v>7</v>
      </c>
      <c r="Y22" s="3" t="s">
        <v>1264</v>
      </c>
      <c r="Z22" s="3" t="s">
        <v>1265</v>
      </c>
      <c r="AA22" s="3"/>
      <c r="AB22" s="3"/>
      <c r="AC22" s="3"/>
      <c r="AD22" s="3"/>
      <c r="AE22" s="3" t="s">
        <v>51</v>
      </c>
      <c r="AF22" s="3" t="s">
        <v>112</v>
      </c>
      <c r="AG22" s="3" t="str">
        <f t="shared" si="5"/>
        <v>Altagracia de Orituco</v>
      </c>
    </row>
    <row r="23" spans="1:33" x14ac:dyDescent="0.25">
      <c r="A23" s="3" t="s">
        <v>1196</v>
      </c>
      <c r="B23" s="3" t="s">
        <v>1225</v>
      </c>
      <c r="C23" s="3" t="s">
        <v>48</v>
      </c>
      <c r="D23" s="3">
        <v>34636782</v>
      </c>
      <c r="E23" s="3" t="s">
        <v>49</v>
      </c>
      <c r="F23" s="3" t="s">
        <v>1252</v>
      </c>
      <c r="G23" s="3" t="s">
        <v>1260</v>
      </c>
      <c r="H23" s="3" t="s">
        <v>1261</v>
      </c>
      <c r="I23" s="3" t="str">
        <f t="shared" si="0"/>
        <v>Altagracia de Orituco</v>
      </c>
      <c r="J23" s="3" t="str">
        <f t="shared" si="1"/>
        <v>Guárico</v>
      </c>
      <c r="K23" s="3" t="s">
        <v>302</v>
      </c>
      <c r="L23" s="3" t="str">
        <f t="shared" si="2"/>
        <v>Altagracia de Orituco</v>
      </c>
      <c r="M23" s="3"/>
      <c r="N23" s="3"/>
      <c r="O23" s="3"/>
      <c r="P23" s="3"/>
      <c r="Q23" s="3"/>
      <c r="R23" s="3" t="str">
        <f t="shared" si="3"/>
        <v>2025-2026</v>
      </c>
      <c r="S23" s="3" t="s">
        <v>65</v>
      </c>
      <c r="T23" s="3"/>
      <c r="U23" s="3" t="s">
        <v>47</v>
      </c>
      <c r="V23" s="3" t="s">
        <v>82</v>
      </c>
      <c r="W23" s="3" t="s">
        <v>67</v>
      </c>
      <c r="X23" s="3">
        <v>7</v>
      </c>
      <c r="Y23" s="3" t="s">
        <v>1264</v>
      </c>
      <c r="Z23" s="3" t="s">
        <v>1265</v>
      </c>
      <c r="AA23" s="3"/>
      <c r="AB23" s="3"/>
      <c r="AC23" s="3"/>
      <c r="AD23" s="3"/>
      <c r="AE23" s="3" t="s">
        <v>51</v>
      </c>
      <c r="AF23" s="3" t="s">
        <v>112</v>
      </c>
      <c r="AG23" s="3" t="str">
        <f t="shared" si="5"/>
        <v>Altagracia de Orituco</v>
      </c>
    </row>
    <row r="24" spans="1:33" x14ac:dyDescent="0.25">
      <c r="A24" s="3" t="s">
        <v>1197</v>
      </c>
      <c r="B24" s="3" t="s">
        <v>1207</v>
      </c>
      <c r="C24" s="3" t="s">
        <v>48</v>
      </c>
      <c r="D24" s="3">
        <v>34806390</v>
      </c>
      <c r="E24" s="3" t="s">
        <v>59</v>
      </c>
      <c r="F24" s="3" t="s">
        <v>1253</v>
      </c>
      <c r="G24" s="3" t="s">
        <v>1260</v>
      </c>
      <c r="H24" s="3" t="s">
        <v>1261</v>
      </c>
      <c r="I24" s="3" t="str">
        <f t="shared" si="0"/>
        <v>Altagracia de Orituco</v>
      </c>
      <c r="J24" s="3" t="str">
        <f t="shared" si="1"/>
        <v>Guárico</v>
      </c>
      <c r="K24" s="3" t="s">
        <v>302</v>
      </c>
      <c r="L24" s="3" t="str">
        <f t="shared" si="2"/>
        <v>Altagracia de Orituco</v>
      </c>
      <c r="M24" s="3"/>
      <c r="N24" s="3"/>
      <c r="O24" s="3"/>
      <c r="P24" s="3"/>
      <c r="Q24" s="3"/>
      <c r="R24" s="3" t="str">
        <f t="shared" si="3"/>
        <v>2025-2026</v>
      </c>
      <c r="S24" s="3" t="s">
        <v>65</v>
      </c>
      <c r="T24" s="3"/>
      <c r="U24" s="3" t="s">
        <v>47</v>
      </c>
      <c r="V24" s="3" t="s">
        <v>82</v>
      </c>
      <c r="W24" s="3" t="s">
        <v>67</v>
      </c>
      <c r="X24" s="3">
        <v>7</v>
      </c>
      <c r="Y24" s="3" t="s">
        <v>1264</v>
      </c>
      <c r="Z24" s="3" t="s">
        <v>1265</v>
      </c>
      <c r="AA24" s="3"/>
      <c r="AB24" s="3"/>
      <c r="AC24" s="3"/>
      <c r="AD24" s="3"/>
      <c r="AE24" s="3" t="s">
        <v>51</v>
      </c>
      <c r="AF24" s="3" t="s">
        <v>112</v>
      </c>
      <c r="AG24" s="3" t="str">
        <f t="shared" si="5"/>
        <v>Altagracia de Orituco</v>
      </c>
    </row>
    <row r="25" spans="1:33" x14ac:dyDescent="0.25">
      <c r="A25" s="3" t="s">
        <v>1198</v>
      </c>
      <c r="B25" s="3" t="s">
        <v>1226</v>
      </c>
      <c r="C25" s="3" t="s">
        <v>48</v>
      </c>
      <c r="D25" s="3">
        <v>34806764</v>
      </c>
      <c r="E25" s="3" t="s">
        <v>49</v>
      </c>
      <c r="F25" s="3" t="s">
        <v>1254</v>
      </c>
      <c r="G25" s="3" t="s">
        <v>1260</v>
      </c>
      <c r="H25" s="3" t="s">
        <v>1261</v>
      </c>
      <c r="I25" s="3" t="str">
        <f t="shared" si="0"/>
        <v>Altagracia de Orituco</v>
      </c>
      <c r="J25" s="3" t="str">
        <f t="shared" si="1"/>
        <v>Guárico</v>
      </c>
      <c r="K25" s="3" t="s">
        <v>302</v>
      </c>
      <c r="L25" s="3" t="str">
        <f t="shared" si="2"/>
        <v>Altagracia de Orituco</v>
      </c>
      <c r="M25" s="3"/>
      <c r="N25" s="3"/>
      <c r="O25" s="3"/>
      <c r="P25" s="3"/>
      <c r="Q25" s="3"/>
      <c r="R25" s="3" t="str">
        <f t="shared" si="3"/>
        <v>2025-2026</v>
      </c>
      <c r="S25" s="3" t="s">
        <v>65</v>
      </c>
      <c r="T25" s="3"/>
      <c r="U25" s="3" t="s">
        <v>47</v>
      </c>
      <c r="V25" s="3" t="s">
        <v>82</v>
      </c>
      <c r="W25" s="3" t="s">
        <v>67</v>
      </c>
      <c r="X25" s="3">
        <v>7</v>
      </c>
      <c r="Y25" s="3" t="s">
        <v>1264</v>
      </c>
      <c r="Z25" s="3" t="s">
        <v>1265</v>
      </c>
      <c r="AA25" s="3"/>
      <c r="AB25" s="3"/>
      <c r="AC25" s="3"/>
      <c r="AD25" s="3"/>
      <c r="AE25" s="3" t="s">
        <v>51</v>
      </c>
      <c r="AF25" s="3" t="s">
        <v>112</v>
      </c>
      <c r="AG25" s="3" t="str">
        <f t="shared" si="5"/>
        <v>Altagracia de Orituco</v>
      </c>
    </row>
    <row r="26" spans="1:33" x14ac:dyDescent="0.25">
      <c r="A26" s="3" t="s">
        <v>1199</v>
      </c>
      <c r="B26" s="3" t="s">
        <v>1227</v>
      </c>
      <c r="C26" s="3" t="s">
        <v>48</v>
      </c>
      <c r="D26" s="3">
        <v>34979297</v>
      </c>
      <c r="E26" s="3" t="s">
        <v>59</v>
      </c>
      <c r="F26" s="3" t="s">
        <v>1255</v>
      </c>
      <c r="G26" s="3" t="s">
        <v>1260</v>
      </c>
      <c r="H26" s="3" t="s">
        <v>1261</v>
      </c>
      <c r="I26" s="3" t="str">
        <f t="shared" si="0"/>
        <v>Altagracia de Orituco</v>
      </c>
      <c r="J26" s="3" t="str">
        <f t="shared" si="1"/>
        <v>Guárico</v>
      </c>
      <c r="K26" s="3" t="s">
        <v>302</v>
      </c>
      <c r="L26" s="3" t="str">
        <f t="shared" si="2"/>
        <v>Altagracia de Orituco</v>
      </c>
      <c r="M26" s="3"/>
      <c r="N26" s="3"/>
      <c r="O26" s="3"/>
      <c r="P26" s="3"/>
      <c r="Q26" s="3"/>
      <c r="R26" s="3" t="str">
        <f t="shared" si="3"/>
        <v>2025-2026</v>
      </c>
      <c r="S26" s="3" t="s">
        <v>65</v>
      </c>
      <c r="T26" s="3"/>
      <c r="U26" s="3" t="s">
        <v>47</v>
      </c>
      <c r="V26" s="3" t="s">
        <v>82</v>
      </c>
      <c r="W26" s="3" t="s">
        <v>67</v>
      </c>
      <c r="X26" s="3">
        <v>7</v>
      </c>
      <c r="Y26" s="3" t="s">
        <v>1264</v>
      </c>
      <c r="Z26" s="3" t="s">
        <v>1265</v>
      </c>
      <c r="AA26" s="3"/>
      <c r="AB26" s="3"/>
      <c r="AC26" s="3"/>
      <c r="AD26" s="3"/>
      <c r="AE26" s="3" t="s">
        <v>51</v>
      </c>
      <c r="AF26" s="3" t="s">
        <v>112</v>
      </c>
      <c r="AG26" s="3" t="str">
        <f t="shared" si="5"/>
        <v>Altagracia de Orituco</v>
      </c>
    </row>
    <row r="27" spans="1:33" x14ac:dyDescent="0.25">
      <c r="A27" s="3" t="s">
        <v>1200</v>
      </c>
      <c r="B27" s="3" t="s">
        <v>1228</v>
      </c>
      <c r="C27" s="3" t="s">
        <v>48</v>
      </c>
      <c r="D27" s="3">
        <v>36028665</v>
      </c>
      <c r="E27" s="3" t="s">
        <v>59</v>
      </c>
      <c r="F27" s="3" t="s">
        <v>1256</v>
      </c>
      <c r="G27" s="3" t="s">
        <v>1260</v>
      </c>
      <c r="H27" s="3" t="s">
        <v>1261</v>
      </c>
      <c r="I27" s="3" t="str">
        <f t="shared" si="0"/>
        <v>Altagracia de Orituco</v>
      </c>
      <c r="J27" s="3" t="str">
        <f t="shared" si="1"/>
        <v>Guárico</v>
      </c>
      <c r="K27" s="3" t="s">
        <v>302</v>
      </c>
      <c r="L27" s="3" t="str">
        <f t="shared" si="2"/>
        <v>Altagracia de Orituco</v>
      </c>
      <c r="M27" s="3"/>
      <c r="N27" s="3"/>
      <c r="O27" s="3"/>
      <c r="P27" s="3"/>
      <c r="Q27" s="3"/>
      <c r="R27" s="3" t="str">
        <f t="shared" si="3"/>
        <v>2025-2026</v>
      </c>
      <c r="S27" s="3" t="s">
        <v>65</v>
      </c>
      <c r="T27" s="3"/>
      <c r="U27" s="3" t="s">
        <v>47</v>
      </c>
      <c r="V27" s="3" t="s">
        <v>82</v>
      </c>
      <c r="W27" s="3" t="s">
        <v>67</v>
      </c>
      <c r="X27" s="3">
        <v>7</v>
      </c>
      <c r="Y27" s="3" t="s">
        <v>1264</v>
      </c>
      <c r="Z27" s="3" t="s">
        <v>1265</v>
      </c>
      <c r="AA27" s="3"/>
      <c r="AB27" s="3"/>
      <c r="AC27" s="3"/>
      <c r="AD27" s="3"/>
      <c r="AE27" s="3" t="s">
        <v>51</v>
      </c>
      <c r="AF27" s="3" t="s">
        <v>112</v>
      </c>
      <c r="AG27" s="3" t="str">
        <f t="shared" si="5"/>
        <v>Altagracia de Orituco</v>
      </c>
    </row>
    <row r="28" spans="1:33" x14ac:dyDescent="0.25">
      <c r="A28" s="3" t="s">
        <v>1201</v>
      </c>
      <c r="B28" s="3" t="s">
        <v>1229</v>
      </c>
      <c r="C28" s="3" t="s">
        <v>48</v>
      </c>
      <c r="D28" s="3">
        <v>36071817</v>
      </c>
      <c r="E28" s="3" t="s">
        <v>59</v>
      </c>
      <c r="F28" s="3" t="s">
        <v>1253</v>
      </c>
      <c r="G28" s="3" t="s">
        <v>1260</v>
      </c>
      <c r="H28" s="3" t="s">
        <v>1261</v>
      </c>
      <c r="I28" s="3" t="str">
        <f t="shared" si="0"/>
        <v>Altagracia de Orituco</v>
      </c>
      <c r="J28" s="3" t="str">
        <f t="shared" si="1"/>
        <v>Guárico</v>
      </c>
      <c r="K28" s="3" t="s">
        <v>302</v>
      </c>
      <c r="L28" s="3" t="str">
        <f t="shared" si="2"/>
        <v>Altagracia de Orituco</v>
      </c>
      <c r="M28" s="3"/>
      <c r="N28" s="3"/>
      <c r="O28" s="3"/>
      <c r="P28" s="3"/>
      <c r="Q28" s="3"/>
      <c r="R28" s="3" t="str">
        <f t="shared" si="3"/>
        <v>2025-2026</v>
      </c>
      <c r="S28" s="3" t="s">
        <v>65</v>
      </c>
      <c r="T28" s="3"/>
      <c r="U28" s="3" t="s">
        <v>47</v>
      </c>
      <c r="V28" s="3" t="s">
        <v>82</v>
      </c>
      <c r="W28" s="3" t="s">
        <v>67</v>
      </c>
      <c r="X28" s="3">
        <v>7</v>
      </c>
      <c r="Y28" s="3" t="s">
        <v>1264</v>
      </c>
      <c r="Z28" s="3" t="s">
        <v>1265</v>
      </c>
      <c r="AA28" s="3"/>
      <c r="AB28" s="3"/>
      <c r="AC28" s="3"/>
      <c r="AD28" s="3"/>
      <c r="AE28" s="3" t="s">
        <v>51</v>
      </c>
      <c r="AF28" s="3" t="s">
        <v>112</v>
      </c>
      <c r="AG28" s="3" t="str">
        <f t="shared" si="5"/>
        <v>Altagracia de Orituco</v>
      </c>
    </row>
    <row r="29" spans="1:33" x14ac:dyDescent="0.25">
      <c r="A29" s="3" t="s">
        <v>1202</v>
      </c>
      <c r="B29" s="3" t="s">
        <v>1230</v>
      </c>
      <c r="C29" s="3" t="s">
        <v>73</v>
      </c>
      <c r="D29" s="3">
        <v>11115797770</v>
      </c>
      <c r="E29" s="3" t="s">
        <v>49</v>
      </c>
      <c r="F29" s="3" t="s">
        <v>1254</v>
      </c>
      <c r="G29" s="3" t="s">
        <v>1260</v>
      </c>
      <c r="H29" s="3" t="s">
        <v>1261</v>
      </c>
      <c r="I29" s="3" t="str">
        <f t="shared" si="0"/>
        <v>Altagracia de Orituco</v>
      </c>
      <c r="J29" s="3" t="str">
        <f t="shared" si="1"/>
        <v>Guárico</v>
      </c>
      <c r="K29" s="3" t="s">
        <v>302</v>
      </c>
      <c r="L29" s="3" t="str">
        <f t="shared" si="2"/>
        <v>Altagracia de Orituco</v>
      </c>
      <c r="M29" s="3"/>
      <c r="N29" s="3"/>
      <c r="O29" s="3"/>
      <c r="P29" s="3"/>
      <c r="Q29" s="3"/>
      <c r="R29" s="3" t="str">
        <f t="shared" si="3"/>
        <v>2025-2026</v>
      </c>
      <c r="S29" s="3" t="s">
        <v>65</v>
      </c>
      <c r="T29" s="3"/>
      <c r="U29" s="3" t="s">
        <v>47</v>
      </c>
      <c r="V29" s="3" t="s">
        <v>82</v>
      </c>
      <c r="W29" s="3" t="s">
        <v>67</v>
      </c>
      <c r="X29" s="3">
        <v>7</v>
      </c>
      <c r="Y29" s="3" t="s">
        <v>1264</v>
      </c>
      <c r="Z29" s="3" t="s">
        <v>1265</v>
      </c>
      <c r="AA29" s="3"/>
      <c r="AB29" s="3"/>
      <c r="AC29" s="3"/>
      <c r="AD29" s="3"/>
      <c r="AE29" s="3" t="s">
        <v>51</v>
      </c>
      <c r="AF29" s="3" t="s">
        <v>112</v>
      </c>
      <c r="AG29" s="3" t="str">
        <f t="shared" si="5"/>
        <v>Altagracia de Orituco</v>
      </c>
    </row>
    <row r="30" spans="1:33" x14ac:dyDescent="0.25">
      <c r="A30" s="3" t="s">
        <v>1203</v>
      </c>
      <c r="B30" s="3" t="s">
        <v>1231</v>
      </c>
      <c r="C30" s="3" t="s">
        <v>73</v>
      </c>
      <c r="D30" s="3">
        <v>11118351746</v>
      </c>
      <c r="E30" s="3" t="s">
        <v>59</v>
      </c>
      <c r="F30" s="3" t="s">
        <v>1241</v>
      </c>
      <c r="G30" s="3" t="s">
        <v>1260</v>
      </c>
      <c r="H30" s="3" t="s">
        <v>1261</v>
      </c>
      <c r="I30" s="3" t="str">
        <f t="shared" si="0"/>
        <v>Altagracia de Orituco</v>
      </c>
      <c r="J30" s="3" t="str">
        <f t="shared" si="1"/>
        <v>Guárico</v>
      </c>
      <c r="K30" s="3" t="s">
        <v>302</v>
      </c>
      <c r="L30" s="3" t="str">
        <f t="shared" si="2"/>
        <v>Altagracia de Orituco</v>
      </c>
      <c r="M30" s="3"/>
      <c r="N30" s="3"/>
      <c r="O30" s="3"/>
      <c r="P30" s="3"/>
      <c r="Q30" s="3"/>
      <c r="R30" s="3" t="str">
        <f t="shared" si="3"/>
        <v>2025-2026</v>
      </c>
      <c r="S30" s="3" t="s">
        <v>65</v>
      </c>
      <c r="T30" s="3"/>
      <c r="U30" s="3" t="s">
        <v>47</v>
      </c>
      <c r="V30" s="3" t="s">
        <v>82</v>
      </c>
      <c r="W30" s="3" t="s">
        <v>67</v>
      </c>
      <c r="X30" s="3">
        <v>7</v>
      </c>
      <c r="Y30" s="3" t="s">
        <v>1264</v>
      </c>
      <c r="Z30" s="3" t="s">
        <v>1265</v>
      </c>
      <c r="AA30" s="3"/>
      <c r="AB30" s="3"/>
      <c r="AC30" s="3"/>
      <c r="AD30" s="3"/>
      <c r="AE30" s="3" t="s">
        <v>51</v>
      </c>
      <c r="AF30" s="3" t="s">
        <v>112</v>
      </c>
      <c r="AG30" s="3" t="str">
        <f t="shared" si="5"/>
        <v>Altagracia de Orituco</v>
      </c>
    </row>
    <row r="31" spans="1:33" x14ac:dyDescent="0.25">
      <c r="A31" s="3" t="s">
        <v>1204</v>
      </c>
      <c r="B31" s="3" t="s">
        <v>1232</v>
      </c>
      <c r="C31" s="3" t="s">
        <v>73</v>
      </c>
      <c r="D31" s="3">
        <v>11118596899</v>
      </c>
      <c r="E31" s="3" t="s">
        <v>59</v>
      </c>
      <c r="F31" s="3" t="s">
        <v>1257</v>
      </c>
      <c r="G31" s="3" t="s">
        <v>1260</v>
      </c>
      <c r="H31" s="3" t="s">
        <v>1261</v>
      </c>
      <c r="I31" s="3" t="str">
        <f t="shared" si="0"/>
        <v>Altagracia de Orituco</v>
      </c>
      <c r="J31" s="3" t="str">
        <f t="shared" si="1"/>
        <v>Guárico</v>
      </c>
      <c r="K31" s="3" t="s">
        <v>302</v>
      </c>
      <c r="L31" s="3" t="str">
        <f t="shared" si="2"/>
        <v>Altagracia de Orituco</v>
      </c>
      <c r="M31" s="3"/>
      <c r="N31" s="3"/>
      <c r="O31" s="3"/>
      <c r="P31" s="3"/>
      <c r="Q31" s="3"/>
      <c r="R31" s="3" t="str">
        <f t="shared" si="3"/>
        <v>2025-2026</v>
      </c>
      <c r="S31" s="3" t="s">
        <v>65</v>
      </c>
      <c r="T31" s="3"/>
      <c r="U31" s="3" t="s">
        <v>47</v>
      </c>
      <c r="V31" s="3" t="s">
        <v>82</v>
      </c>
      <c r="W31" s="3" t="s">
        <v>67</v>
      </c>
      <c r="X31" s="3">
        <v>7</v>
      </c>
      <c r="Y31" s="3" t="s">
        <v>1264</v>
      </c>
      <c r="Z31" s="3" t="s">
        <v>1265</v>
      </c>
      <c r="AA31" s="3"/>
      <c r="AB31" s="3"/>
      <c r="AC31" s="3"/>
      <c r="AD31" s="3"/>
      <c r="AE31" s="3" t="s">
        <v>51</v>
      </c>
      <c r="AF31" s="3" t="s">
        <v>112</v>
      </c>
      <c r="AG31" s="3" t="str">
        <f t="shared" si="5"/>
        <v>Altagracia de Orituco</v>
      </c>
    </row>
    <row r="32" spans="1:33" x14ac:dyDescent="0.25">
      <c r="A32" s="3" t="s">
        <v>1205</v>
      </c>
      <c r="B32" s="3" t="s">
        <v>1233</v>
      </c>
      <c r="C32" s="3" t="s">
        <v>73</v>
      </c>
      <c r="D32" s="3">
        <v>11118770857</v>
      </c>
      <c r="E32" s="3" t="s">
        <v>59</v>
      </c>
      <c r="F32" s="3" t="s">
        <v>1258</v>
      </c>
      <c r="G32" s="3" t="s">
        <v>1260</v>
      </c>
      <c r="H32" s="3" t="s">
        <v>1261</v>
      </c>
      <c r="I32" s="3" t="str">
        <f t="shared" si="0"/>
        <v>Altagracia de Orituco</v>
      </c>
      <c r="J32" s="3" t="str">
        <f t="shared" si="1"/>
        <v>Guárico</v>
      </c>
      <c r="K32" s="3" t="s">
        <v>302</v>
      </c>
      <c r="L32" s="3" t="str">
        <f t="shared" si="2"/>
        <v>Altagracia de Orituco</v>
      </c>
      <c r="M32" s="3"/>
      <c r="N32" s="3"/>
      <c r="O32" s="3"/>
      <c r="P32" s="3"/>
      <c r="Q32" s="3"/>
      <c r="R32" s="3" t="str">
        <f t="shared" si="3"/>
        <v>2025-2026</v>
      </c>
      <c r="S32" s="3" t="s">
        <v>65</v>
      </c>
      <c r="T32" s="3"/>
      <c r="U32" s="3" t="s">
        <v>47</v>
      </c>
      <c r="V32" s="3" t="s">
        <v>82</v>
      </c>
      <c r="W32" s="3" t="s">
        <v>67</v>
      </c>
      <c r="X32" s="3">
        <v>7</v>
      </c>
      <c r="Y32" s="3" t="s">
        <v>1264</v>
      </c>
      <c r="Z32" s="3" t="s">
        <v>1265</v>
      </c>
      <c r="AA32" s="3"/>
      <c r="AB32" s="3"/>
      <c r="AC32" s="3"/>
      <c r="AD32" s="3"/>
      <c r="AE32" s="3" t="s">
        <v>51</v>
      </c>
      <c r="AF32" s="3" t="s">
        <v>112</v>
      </c>
      <c r="AG32" s="3" t="str">
        <f t="shared" si="5"/>
        <v>Altagracia de Orituco</v>
      </c>
    </row>
    <row r="33" spans="1:33" x14ac:dyDescent="0.25">
      <c r="A33" s="3" t="s">
        <v>1206</v>
      </c>
      <c r="B33" s="3" t="s">
        <v>1234</v>
      </c>
      <c r="C33" s="3" t="s">
        <v>73</v>
      </c>
      <c r="D33" s="3">
        <v>11120718049</v>
      </c>
      <c r="E33" s="3" t="s">
        <v>49</v>
      </c>
      <c r="F33" s="3" t="s">
        <v>1259</v>
      </c>
      <c r="G33" s="3" t="s">
        <v>1260</v>
      </c>
      <c r="H33" s="3" t="s">
        <v>1261</v>
      </c>
      <c r="I33" s="3" t="str">
        <f t="shared" si="0"/>
        <v>Altagracia de Orituco</v>
      </c>
      <c r="J33" s="3" t="str">
        <f t="shared" si="1"/>
        <v>Guárico</v>
      </c>
      <c r="K33" s="3" t="s">
        <v>302</v>
      </c>
      <c r="L33" s="3" t="str">
        <f t="shared" si="2"/>
        <v>Altagracia de Orituco</v>
      </c>
      <c r="M33" s="3"/>
      <c r="N33" s="3"/>
      <c r="O33" s="3"/>
      <c r="P33" s="3"/>
      <c r="Q33" s="3"/>
      <c r="R33" s="3" t="str">
        <f t="shared" si="3"/>
        <v>2025-2026</v>
      </c>
      <c r="S33" s="3" t="s">
        <v>65</v>
      </c>
      <c r="T33" s="3"/>
      <c r="U33" s="3" t="s">
        <v>47</v>
      </c>
      <c r="V33" s="3" t="s">
        <v>82</v>
      </c>
      <c r="W33" s="3" t="s">
        <v>67</v>
      </c>
      <c r="X33" s="3">
        <v>7</v>
      </c>
      <c r="Y33" s="3" t="s">
        <v>1264</v>
      </c>
      <c r="Z33" s="3" t="s">
        <v>1265</v>
      </c>
      <c r="AA33" s="3"/>
      <c r="AB33" s="3"/>
      <c r="AC33" s="3"/>
      <c r="AD33" s="3"/>
      <c r="AE33" s="3" t="s">
        <v>51</v>
      </c>
      <c r="AF33" s="3" t="s">
        <v>112</v>
      </c>
      <c r="AG33" s="3" t="str">
        <f t="shared" si="5"/>
        <v>Altagracia de Orituco</v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ref="G34:G67" si="6">IF($A34&lt;&gt;"","Guárico","")</f>
        <v/>
      </c>
      <c r="H34" s="3" t="str">
        <f t="shared" ref="H34:H67" si="7">IF($A34&lt;&gt;"","Monagas","")</f>
        <v/>
      </c>
      <c r="I34" s="3" t="str">
        <f t="shared" si="0"/>
        <v/>
      </c>
      <c r="J34" s="3" t="str">
        <f t="shared" si="1"/>
        <v/>
      </c>
      <c r="K34" s="3" t="str">
        <f t="shared" ref="K34:K67" si="8">IF($A34&lt;&gt;"","Monagas","")</f>
        <v/>
      </c>
      <c r="L34" s="3" t="str">
        <f t="shared" si="2"/>
        <v/>
      </c>
      <c r="M34" s="3"/>
      <c r="N34" s="3"/>
      <c r="O34" s="3"/>
      <c r="P34" s="3"/>
      <c r="Q34" s="3"/>
      <c r="R34" s="3" t="str">
        <f t="shared" si="3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4"/>
        <v/>
      </c>
      <c r="AF34" s="3" t="str">
        <f t="shared" ref="AF34:AF67" si="9">IF($Y34&lt;&gt;"","Monagas","")</f>
        <v/>
      </c>
      <c r="AG34" s="3" t="str">
        <f t="shared" si="5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6"/>
        <v/>
      </c>
      <c r="H35" s="3" t="str">
        <f t="shared" si="7"/>
        <v/>
      </c>
      <c r="I35" s="3" t="str">
        <f t="shared" si="0"/>
        <v/>
      </c>
      <c r="J35" s="3" t="str">
        <f t="shared" si="1"/>
        <v/>
      </c>
      <c r="K35" s="3" t="str">
        <f t="shared" si="8"/>
        <v/>
      </c>
      <c r="L35" s="3" t="str">
        <f t="shared" si="2"/>
        <v/>
      </c>
      <c r="M35" s="3"/>
      <c r="N35" s="3"/>
      <c r="O35" s="3"/>
      <c r="P35" s="3"/>
      <c r="Q35" s="3"/>
      <c r="R35" s="3" t="str">
        <f t="shared" si="3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4"/>
        <v/>
      </c>
      <c r="AF35" s="3" t="str">
        <f t="shared" si="9"/>
        <v/>
      </c>
      <c r="AG35" s="3" t="str">
        <f t="shared" si="5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6"/>
        <v/>
      </c>
      <c r="H36" s="3" t="str">
        <f t="shared" si="7"/>
        <v/>
      </c>
      <c r="I36" s="3" t="str">
        <f t="shared" si="0"/>
        <v/>
      </c>
      <c r="J36" s="3" t="str">
        <f t="shared" si="1"/>
        <v/>
      </c>
      <c r="K36" s="3" t="str">
        <f t="shared" si="8"/>
        <v/>
      </c>
      <c r="L36" s="3" t="str">
        <f t="shared" si="2"/>
        <v/>
      </c>
      <c r="M36" s="3"/>
      <c r="N36" s="3"/>
      <c r="O36" s="3"/>
      <c r="P36" s="3"/>
      <c r="Q36" s="3"/>
      <c r="R36" s="3" t="str">
        <f t="shared" si="3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4"/>
        <v/>
      </c>
      <c r="AF36" s="3" t="str">
        <f t="shared" si="9"/>
        <v/>
      </c>
      <c r="AG36" s="3" t="str">
        <f t="shared" si="5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6"/>
        <v/>
      </c>
      <c r="H37" s="3" t="str">
        <f t="shared" si="7"/>
        <v/>
      </c>
      <c r="I37" s="3" t="str">
        <f t="shared" si="0"/>
        <v/>
      </c>
      <c r="J37" s="3" t="str">
        <f t="shared" si="1"/>
        <v/>
      </c>
      <c r="K37" s="3" t="str">
        <f t="shared" si="8"/>
        <v/>
      </c>
      <c r="L37" s="3" t="str">
        <f t="shared" si="2"/>
        <v/>
      </c>
      <c r="M37" s="3"/>
      <c r="N37" s="3"/>
      <c r="O37" s="3"/>
      <c r="P37" s="3"/>
      <c r="Q37" s="3"/>
      <c r="R37" s="3" t="str">
        <f t="shared" si="3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4"/>
        <v/>
      </c>
      <c r="AF37" s="3" t="str">
        <f t="shared" si="9"/>
        <v/>
      </c>
      <c r="AG37" s="3" t="str">
        <f t="shared" si="5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6"/>
        <v/>
      </c>
      <c r="H38" s="3" t="str">
        <f t="shared" si="7"/>
        <v/>
      </c>
      <c r="I38" s="3" t="str">
        <f t="shared" si="0"/>
        <v/>
      </c>
      <c r="J38" s="3" t="str">
        <f t="shared" si="1"/>
        <v/>
      </c>
      <c r="K38" s="3" t="str">
        <f t="shared" si="8"/>
        <v/>
      </c>
      <c r="L38" s="3" t="str">
        <f t="shared" si="2"/>
        <v/>
      </c>
      <c r="M38" s="3"/>
      <c r="N38" s="3"/>
      <c r="O38" s="3"/>
      <c r="P38" s="3"/>
      <c r="Q38" s="3"/>
      <c r="R38" s="3" t="str">
        <f t="shared" si="3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4"/>
        <v/>
      </c>
      <c r="AF38" s="3" t="str">
        <f t="shared" si="9"/>
        <v/>
      </c>
      <c r="AG38" s="3" t="str">
        <f t="shared" si="5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6"/>
        <v/>
      </c>
      <c r="H39" s="3" t="str">
        <f t="shared" si="7"/>
        <v/>
      </c>
      <c r="I39" s="3" t="str">
        <f t="shared" si="0"/>
        <v/>
      </c>
      <c r="J39" s="3" t="str">
        <f t="shared" si="1"/>
        <v/>
      </c>
      <c r="K39" s="3" t="str">
        <f t="shared" si="8"/>
        <v/>
      </c>
      <c r="L39" s="3" t="str">
        <f t="shared" si="2"/>
        <v/>
      </c>
      <c r="M39" s="3"/>
      <c r="N39" s="3"/>
      <c r="O39" s="3"/>
      <c r="P39" s="3"/>
      <c r="Q39" s="3"/>
      <c r="R39" s="3" t="str">
        <f t="shared" si="3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4"/>
        <v/>
      </c>
      <c r="AF39" s="3" t="str">
        <f t="shared" si="9"/>
        <v/>
      </c>
      <c r="AG39" s="3" t="str">
        <f t="shared" si="5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6"/>
        <v/>
      </c>
      <c r="H40" s="3" t="str">
        <f t="shared" si="7"/>
        <v/>
      </c>
      <c r="I40" s="3" t="str">
        <f t="shared" si="0"/>
        <v/>
      </c>
      <c r="J40" s="3" t="str">
        <f t="shared" si="1"/>
        <v/>
      </c>
      <c r="K40" s="3" t="str">
        <f t="shared" si="8"/>
        <v/>
      </c>
      <c r="L40" s="3" t="str">
        <f t="shared" si="2"/>
        <v/>
      </c>
      <c r="M40" s="3"/>
      <c r="N40" s="3"/>
      <c r="O40" s="3"/>
      <c r="P40" s="3"/>
      <c r="Q40" s="3"/>
      <c r="R40" s="3" t="str">
        <f t="shared" si="3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4"/>
        <v/>
      </c>
      <c r="AF40" s="3" t="str">
        <f t="shared" si="9"/>
        <v/>
      </c>
      <c r="AG40" s="3" t="str">
        <f t="shared" si="5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6"/>
        <v/>
      </c>
      <c r="H41" s="3" t="str">
        <f t="shared" si="7"/>
        <v/>
      </c>
      <c r="I41" s="3" t="str">
        <f t="shared" si="0"/>
        <v/>
      </c>
      <c r="J41" s="3" t="str">
        <f t="shared" si="1"/>
        <v/>
      </c>
      <c r="K41" s="3" t="str">
        <f t="shared" si="8"/>
        <v/>
      </c>
      <c r="L41" s="3" t="str">
        <f t="shared" si="2"/>
        <v/>
      </c>
      <c r="M41" s="3"/>
      <c r="N41" s="3"/>
      <c r="O41" s="3"/>
      <c r="P41" s="3"/>
      <c r="Q41" s="3"/>
      <c r="R41" s="3" t="str">
        <f t="shared" si="3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4"/>
        <v/>
      </c>
      <c r="AF41" s="3" t="str">
        <f t="shared" si="9"/>
        <v/>
      </c>
      <c r="AG41" s="3" t="str">
        <f t="shared" si="5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6"/>
        <v/>
      </c>
      <c r="H42" s="3" t="str">
        <f t="shared" si="7"/>
        <v/>
      </c>
      <c r="I42" s="3" t="str">
        <f t="shared" si="0"/>
        <v/>
      </c>
      <c r="J42" s="3" t="str">
        <f t="shared" si="1"/>
        <v/>
      </c>
      <c r="K42" s="3" t="str">
        <f t="shared" si="8"/>
        <v/>
      </c>
      <c r="L42" s="3" t="str">
        <f t="shared" si="2"/>
        <v/>
      </c>
      <c r="M42" s="3"/>
      <c r="N42" s="3"/>
      <c r="O42" s="3"/>
      <c r="P42" s="3"/>
      <c r="Q42" s="3"/>
      <c r="R42" s="3" t="str">
        <f t="shared" si="3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4"/>
        <v/>
      </c>
      <c r="AF42" s="3" t="str">
        <f t="shared" si="9"/>
        <v/>
      </c>
      <c r="AG42" s="3" t="str">
        <f t="shared" si="5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6"/>
        <v/>
      </c>
      <c r="H43" s="3" t="str">
        <f t="shared" si="7"/>
        <v/>
      </c>
      <c r="I43" s="3" t="str">
        <f t="shared" si="0"/>
        <v/>
      </c>
      <c r="J43" s="3" t="str">
        <f t="shared" si="1"/>
        <v/>
      </c>
      <c r="K43" s="3" t="str">
        <f t="shared" si="8"/>
        <v/>
      </c>
      <c r="L43" s="3" t="str">
        <f t="shared" si="2"/>
        <v/>
      </c>
      <c r="M43" s="3"/>
      <c r="N43" s="3"/>
      <c r="O43" s="3"/>
      <c r="P43" s="3"/>
      <c r="Q43" s="3"/>
      <c r="R43" s="3" t="str">
        <f t="shared" si="3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4"/>
        <v/>
      </c>
      <c r="AF43" s="3" t="str">
        <f t="shared" si="9"/>
        <v/>
      </c>
      <c r="AG43" s="3" t="str">
        <f t="shared" si="5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6"/>
        <v/>
      </c>
      <c r="H44" s="3" t="str">
        <f t="shared" si="7"/>
        <v/>
      </c>
      <c r="I44" s="3" t="str">
        <f t="shared" si="0"/>
        <v/>
      </c>
      <c r="J44" s="3" t="str">
        <f t="shared" si="1"/>
        <v/>
      </c>
      <c r="K44" s="3" t="str">
        <f t="shared" si="8"/>
        <v/>
      </c>
      <c r="L44" s="3" t="str">
        <f t="shared" si="2"/>
        <v/>
      </c>
      <c r="M44" s="3"/>
      <c r="N44" s="3"/>
      <c r="O44" s="3"/>
      <c r="P44" s="3"/>
      <c r="Q44" s="3"/>
      <c r="R44" s="3" t="str">
        <f t="shared" si="3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4"/>
        <v/>
      </c>
      <c r="AF44" s="3" t="str">
        <f t="shared" si="9"/>
        <v/>
      </c>
      <c r="AG44" s="3" t="str">
        <f t="shared" si="5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6"/>
        <v/>
      </c>
      <c r="H45" s="3" t="str">
        <f t="shared" si="7"/>
        <v/>
      </c>
      <c r="I45" s="3" t="str">
        <f t="shared" si="0"/>
        <v/>
      </c>
      <c r="J45" s="3" t="str">
        <f t="shared" si="1"/>
        <v/>
      </c>
      <c r="K45" s="3" t="str">
        <f t="shared" si="8"/>
        <v/>
      </c>
      <c r="L45" s="3" t="str">
        <f t="shared" si="2"/>
        <v/>
      </c>
      <c r="M45" s="3"/>
      <c r="N45" s="3"/>
      <c r="O45" s="3"/>
      <c r="P45" s="3"/>
      <c r="Q45" s="3"/>
      <c r="R45" s="3" t="str">
        <f t="shared" si="3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4"/>
        <v/>
      </c>
      <c r="AF45" s="3" t="str">
        <f t="shared" si="9"/>
        <v/>
      </c>
      <c r="AG45" s="3" t="str">
        <f t="shared" si="5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6"/>
        <v/>
      </c>
      <c r="H46" s="3" t="str">
        <f t="shared" si="7"/>
        <v/>
      </c>
      <c r="I46" s="3" t="str">
        <f t="shared" si="0"/>
        <v/>
      </c>
      <c r="J46" s="3" t="str">
        <f t="shared" si="1"/>
        <v/>
      </c>
      <c r="K46" s="3" t="str">
        <f t="shared" si="8"/>
        <v/>
      </c>
      <c r="L46" s="3" t="str">
        <f t="shared" si="2"/>
        <v/>
      </c>
      <c r="M46" s="3"/>
      <c r="N46" s="3"/>
      <c r="O46" s="3"/>
      <c r="P46" s="3"/>
      <c r="Q46" s="3"/>
      <c r="R46" s="3" t="str">
        <f t="shared" si="3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4"/>
        <v/>
      </c>
      <c r="AF46" s="3" t="str">
        <f t="shared" si="9"/>
        <v/>
      </c>
      <c r="AG46" s="3" t="str">
        <f t="shared" si="5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6"/>
        <v/>
      </c>
      <c r="H47" s="3" t="str">
        <f t="shared" si="7"/>
        <v/>
      </c>
      <c r="I47" s="3" t="str">
        <f t="shared" si="0"/>
        <v/>
      </c>
      <c r="J47" s="3" t="str">
        <f t="shared" si="1"/>
        <v/>
      </c>
      <c r="K47" s="3" t="str">
        <f t="shared" si="8"/>
        <v/>
      </c>
      <c r="L47" s="3" t="str">
        <f t="shared" si="2"/>
        <v/>
      </c>
      <c r="M47" s="3"/>
      <c r="N47" s="3"/>
      <c r="O47" s="3"/>
      <c r="P47" s="3"/>
      <c r="Q47" s="3"/>
      <c r="R47" s="3" t="str">
        <f t="shared" si="3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4"/>
        <v/>
      </c>
      <c r="AF47" s="3" t="str">
        <f t="shared" si="9"/>
        <v/>
      </c>
      <c r="AG47" s="3" t="str">
        <f t="shared" si="5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6"/>
        <v/>
      </c>
      <c r="H48" s="3" t="str">
        <f t="shared" si="7"/>
        <v/>
      </c>
      <c r="I48" s="3" t="str">
        <f t="shared" si="0"/>
        <v/>
      </c>
      <c r="J48" s="3" t="str">
        <f t="shared" si="1"/>
        <v/>
      </c>
      <c r="K48" s="3" t="str">
        <f t="shared" si="8"/>
        <v/>
      </c>
      <c r="L48" s="3" t="str">
        <f t="shared" si="2"/>
        <v/>
      </c>
      <c r="M48" s="3"/>
      <c r="N48" s="3"/>
      <c r="O48" s="3"/>
      <c r="P48" s="3"/>
      <c r="Q48" s="3"/>
      <c r="R48" s="3" t="str">
        <f t="shared" si="3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4"/>
        <v/>
      </c>
      <c r="AF48" s="3" t="str">
        <f t="shared" si="9"/>
        <v/>
      </c>
      <c r="AG48" s="3" t="str">
        <f t="shared" si="5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6"/>
        <v/>
      </c>
      <c r="H49" s="3" t="str">
        <f t="shared" si="7"/>
        <v/>
      </c>
      <c r="I49" s="3" t="str">
        <f t="shared" si="0"/>
        <v/>
      </c>
      <c r="J49" s="3" t="str">
        <f t="shared" si="1"/>
        <v/>
      </c>
      <c r="K49" s="3" t="str">
        <f t="shared" si="8"/>
        <v/>
      </c>
      <c r="L49" s="3" t="str">
        <f t="shared" si="2"/>
        <v/>
      </c>
      <c r="M49" s="3"/>
      <c r="N49" s="3"/>
      <c r="O49" s="3"/>
      <c r="P49" s="3"/>
      <c r="Q49" s="3"/>
      <c r="R49" s="3" t="str">
        <f t="shared" si="3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4"/>
        <v/>
      </c>
      <c r="AF49" s="3" t="str">
        <f t="shared" si="9"/>
        <v/>
      </c>
      <c r="AG49" s="3" t="str">
        <f t="shared" si="5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6"/>
        <v/>
      </c>
      <c r="H50" s="3" t="str">
        <f t="shared" si="7"/>
        <v/>
      </c>
      <c r="I50" s="3" t="str">
        <f t="shared" si="0"/>
        <v/>
      </c>
      <c r="J50" s="3" t="str">
        <f t="shared" si="1"/>
        <v/>
      </c>
      <c r="K50" s="3" t="str">
        <f t="shared" si="8"/>
        <v/>
      </c>
      <c r="L50" s="3" t="str">
        <f t="shared" si="2"/>
        <v/>
      </c>
      <c r="M50" s="3"/>
      <c r="N50" s="3"/>
      <c r="O50" s="3"/>
      <c r="P50" s="3"/>
      <c r="Q50" s="3"/>
      <c r="R50" s="3" t="str">
        <f t="shared" si="3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4"/>
        <v/>
      </c>
      <c r="AF50" s="3" t="str">
        <f t="shared" si="9"/>
        <v/>
      </c>
      <c r="AG50" s="3" t="str">
        <f t="shared" si="5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6"/>
        <v/>
      </c>
      <c r="H51" s="3" t="str">
        <f t="shared" si="7"/>
        <v/>
      </c>
      <c r="I51" s="3" t="str">
        <f t="shared" si="0"/>
        <v/>
      </c>
      <c r="J51" s="3" t="str">
        <f t="shared" si="1"/>
        <v/>
      </c>
      <c r="K51" s="3" t="str">
        <f t="shared" si="8"/>
        <v/>
      </c>
      <c r="L51" s="3" t="str">
        <f t="shared" si="2"/>
        <v/>
      </c>
      <c r="M51" s="3"/>
      <c r="N51" s="3"/>
      <c r="O51" s="3"/>
      <c r="P51" s="3"/>
      <c r="Q51" s="3"/>
      <c r="R51" s="3" t="str">
        <f t="shared" si="3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4"/>
        <v/>
      </c>
      <c r="AF51" s="3" t="str">
        <f t="shared" si="9"/>
        <v/>
      </c>
      <c r="AG51" s="3" t="str">
        <f t="shared" si="5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6"/>
        <v/>
      </c>
      <c r="H52" s="3" t="str">
        <f t="shared" si="7"/>
        <v/>
      </c>
      <c r="I52" s="3" t="str">
        <f t="shared" si="0"/>
        <v/>
      </c>
      <c r="J52" s="3" t="str">
        <f t="shared" si="1"/>
        <v/>
      </c>
      <c r="K52" s="3" t="str">
        <f t="shared" si="8"/>
        <v/>
      </c>
      <c r="L52" s="3" t="str">
        <f t="shared" si="2"/>
        <v/>
      </c>
      <c r="M52" s="3"/>
      <c r="N52" s="3"/>
      <c r="O52" s="3"/>
      <c r="P52" s="3"/>
      <c r="Q52" s="3"/>
      <c r="R52" s="3" t="str">
        <f t="shared" si="3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4"/>
        <v/>
      </c>
      <c r="AF52" s="3" t="str">
        <f t="shared" si="9"/>
        <v/>
      </c>
      <c r="AG52" s="3" t="str">
        <f t="shared" si="5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6"/>
        <v/>
      </c>
      <c r="H53" s="3" t="str">
        <f t="shared" si="7"/>
        <v/>
      </c>
      <c r="I53" s="3" t="str">
        <f t="shared" si="0"/>
        <v/>
      </c>
      <c r="J53" s="3" t="str">
        <f t="shared" si="1"/>
        <v/>
      </c>
      <c r="K53" s="3" t="str">
        <f t="shared" si="8"/>
        <v/>
      </c>
      <c r="L53" s="3" t="str">
        <f t="shared" si="2"/>
        <v/>
      </c>
      <c r="M53" s="3"/>
      <c r="N53" s="3"/>
      <c r="O53" s="3"/>
      <c r="P53" s="3"/>
      <c r="Q53" s="3"/>
      <c r="R53" s="3" t="str">
        <f t="shared" si="3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4"/>
        <v/>
      </c>
      <c r="AF53" s="3" t="str">
        <f t="shared" si="9"/>
        <v/>
      </c>
      <c r="AG53" s="3" t="str">
        <f t="shared" si="5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6"/>
        <v/>
      </c>
      <c r="H54" s="3" t="str">
        <f t="shared" si="7"/>
        <v/>
      </c>
      <c r="I54" s="3" t="str">
        <f t="shared" si="0"/>
        <v/>
      </c>
      <c r="J54" s="3" t="str">
        <f t="shared" si="1"/>
        <v/>
      </c>
      <c r="K54" s="3" t="str">
        <f t="shared" si="8"/>
        <v/>
      </c>
      <c r="L54" s="3" t="str">
        <f t="shared" si="2"/>
        <v/>
      </c>
      <c r="M54" s="3"/>
      <c r="N54" s="3"/>
      <c r="O54" s="3"/>
      <c r="P54" s="3"/>
      <c r="Q54" s="3"/>
      <c r="R54" s="3" t="str">
        <f t="shared" si="3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4"/>
        <v/>
      </c>
      <c r="AF54" s="3" t="str">
        <f t="shared" si="9"/>
        <v/>
      </c>
      <c r="AG54" s="3" t="str">
        <f t="shared" si="5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6"/>
        <v/>
      </c>
      <c r="H55" s="3" t="str">
        <f t="shared" si="7"/>
        <v/>
      </c>
      <c r="I55" s="3" t="str">
        <f t="shared" si="0"/>
        <v/>
      </c>
      <c r="J55" s="3" t="str">
        <f t="shared" si="1"/>
        <v/>
      </c>
      <c r="K55" s="3" t="str">
        <f t="shared" si="8"/>
        <v/>
      </c>
      <c r="L55" s="3" t="str">
        <f t="shared" si="2"/>
        <v/>
      </c>
      <c r="M55" s="3"/>
      <c r="N55" s="3"/>
      <c r="O55" s="3"/>
      <c r="P55" s="3"/>
      <c r="Q55" s="3"/>
      <c r="R55" s="3" t="str">
        <f t="shared" si="3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4"/>
        <v/>
      </c>
      <c r="AF55" s="3" t="str">
        <f t="shared" si="9"/>
        <v/>
      </c>
      <c r="AG55" s="3" t="str">
        <f t="shared" si="5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6"/>
        <v/>
      </c>
      <c r="H56" s="3" t="str">
        <f t="shared" si="7"/>
        <v/>
      </c>
      <c r="I56" s="3" t="str">
        <f t="shared" si="0"/>
        <v/>
      </c>
      <c r="J56" s="3" t="str">
        <f t="shared" si="1"/>
        <v/>
      </c>
      <c r="K56" s="3" t="str">
        <f t="shared" si="8"/>
        <v/>
      </c>
      <c r="L56" s="3" t="str">
        <f t="shared" si="2"/>
        <v/>
      </c>
      <c r="M56" s="3"/>
      <c r="N56" s="3"/>
      <c r="O56" s="3"/>
      <c r="P56" s="3"/>
      <c r="Q56" s="3"/>
      <c r="R56" s="3" t="str">
        <f t="shared" si="3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4"/>
        <v/>
      </c>
      <c r="AF56" s="3" t="str">
        <f t="shared" si="9"/>
        <v/>
      </c>
      <c r="AG56" s="3" t="str">
        <f t="shared" si="5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6"/>
        <v/>
      </c>
      <c r="H57" s="3" t="str">
        <f t="shared" si="7"/>
        <v/>
      </c>
      <c r="I57" s="3" t="str">
        <f t="shared" si="0"/>
        <v/>
      </c>
      <c r="J57" s="3" t="str">
        <f t="shared" si="1"/>
        <v/>
      </c>
      <c r="K57" s="3" t="str">
        <f t="shared" si="8"/>
        <v/>
      </c>
      <c r="L57" s="3" t="str">
        <f t="shared" si="2"/>
        <v/>
      </c>
      <c r="M57" s="3"/>
      <c r="N57" s="3"/>
      <c r="O57" s="3"/>
      <c r="P57" s="3"/>
      <c r="Q57" s="3"/>
      <c r="R57" s="3" t="str">
        <f t="shared" si="3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4"/>
        <v/>
      </c>
      <c r="AF57" s="3" t="str">
        <f t="shared" si="9"/>
        <v/>
      </c>
      <c r="AG57" s="3" t="str">
        <f t="shared" si="5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6"/>
        <v/>
      </c>
      <c r="H58" s="3" t="str">
        <f t="shared" si="7"/>
        <v/>
      </c>
      <c r="I58" s="3" t="str">
        <f t="shared" si="0"/>
        <v/>
      </c>
      <c r="J58" s="3" t="str">
        <f t="shared" si="1"/>
        <v/>
      </c>
      <c r="K58" s="3" t="str">
        <f t="shared" si="8"/>
        <v/>
      </c>
      <c r="L58" s="3" t="str">
        <f t="shared" si="2"/>
        <v/>
      </c>
      <c r="M58" s="3"/>
      <c r="N58" s="3"/>
      <c r="O58" s="3"/>
      <c r="P58" s="3"/>
      <c r="Q58" s="3"/>
      <c r="R58" s="3" t="str">
        <f t="shared" si="3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4"/>
        <v/>
      </c>
      <c r="AF58" s="3" t="str">
        <f t="shared" si="9"/>
        <v/>
      </c>
      <c r="AG58" s="3" t="str">
        <f t="shared" si="5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6"/>
        <v/>
      </c>
      <c r="H59" s="3" t="str">
        <f t="shared" si="7"/>
        <v/>
      </c>
      <c r="I59" s="3" t="str">
        <f t="shared" si="0"/>
        <v/>
      </c>
      <c r="J59" s="3" t="str">
        <f t="shared" si="1"/>
        <v/>
      </c>
      <c r="K59" s="3" t="str">
        <f t="shared" si="8"/>
        <v/>
      </c>
      <c r="L59" s="3" t="str">
        <f t="shared" si="2"/>
        <v/>
      </c>
      <c r="M59" s="3"/>
      <c r="N59" s="3"/>
      <c r="O59" s="3"/>
      <c r="P59" s="3"/>
      <c r="Q59" s="3"/>
      <c r="R59" s="3" t="str">
        <f t="shared" si="3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4"/>
        <v/>
      </c>
      <c r="AF59" s="3" t="str">
        <f t="shared" si="9"/>
        <v/>
      </c>
      <c r="AG59" s="3" t="str">
        <f t="shared" si="5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6"/>
        <v/>
      </c>
      <c r="H60" s="3" t="str">
        <f t="shared" si="7"/>
        <v/>
      </c>
      <c r="I60" s="3" t="str">
        <f t="shared" si="0"/>
        <v/>
      </c>
      <c r="J60" s="3" t="str">
        <f t="shared" si="1"/>
        <v/>
      </c>
      <c r="K60" s="3" t="str">
        <f t="shared" si="8"/>
        <v/>
      </c>
      <c r="L60" s="3" t="str">
        <f t="shared" si="2"/>
        <v/>
      </c>
      <c r="M60" s="3"/>
      <c r="N60" s="3"/>
      <c r="O60" s="3"/>
      <c r="P60" s="3"/>
      <c r="Q60" s="3"/>
      <c r="R60" s="3" t="str">
        <f t="shared" si="3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4"/>
        <v/>
      </c>
      <c r="AF60" s="3" t="str">
        <f t="shared" si="9"/>
        <v/>
      </c>
      <c r="AG60" s="3" t="str">
        <f t="shared" si="5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6"/>
        <v/>
      </c>
      <c r="H61" s="3" t="str">
        <f t="shared" si="7"/>
        <v/>
      </c>
      <c r="I61" s="3" t="str">
        <f t="shared" si="0"/>
        <v/>
      </c>
      <c r="J61" s="3" t="str">
        <f t="shared" si="1"/>
        <v/>
      </c>
      <c r="K61" s="3" t="str">
        <f t="shared" si="8"/>
        <v/>
      </c>
      <c r="L61" s="3" t="str">
        <f t="shared" si="2"/>
        <v/>
      </c>
      <c r="M61" s="3"/>
      <c r="N61" s="3"/>
      <c r="O61" s="3"/>
      <c r="P61" s="3"/>
      <c r="Q61" s="3"/>
      <c r="R61" s="3" t="str">
        <f t="shared" si="3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4"/>
        <v/>
      </c>
      <c r="AF61" s="3" t="str">
        <f t="shared" si="9"/>
        <v/>
      </c>
      <c r="AG61" s="3" t="str">
        <f t="shared" si="5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6"/>
        <v/>
      </c>
      <c r="H62" s="3" t="str">
        <f t="shared" si="7"/>
        <v/>
      </c>
      <c r="I62" s="3" t="str">
        <f t="shared" si="0"/>
        <v/>
      </c>
      <c r="J62" s="3" t="str">
        <f t="shared" si="1"/>
        <v/>
      </c>
      <c r="K62" s="3" t="str">
        <f t="shared" si="8"/>
        <v/>
      </c>
      <c r="L62" s="3" t="str">
        <f t="shared" si="2"/>
        <v/>
      </c>
      <c r="M62" s="3"/>
      <c r="N62" s="3"/>
      <c r="O62" s="3"/>
      <c r="P62" s="3"/>
      <c r="Q62" s="3"/>
      <c r="R62" s="3" t="str">
        <f t="shared" si="3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4"/>
        <v/>
      </c>
      <c r="AF62" s="3" t="str">
        <f t="shared" si="9"/>
        <v/>
      </c>
      <c r="AG62" s="3" t="str">
        <f t="shared" si="5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6"/>
        <v/>
      </c>
      <c r="H63" s="3" t="str">
        <f t="shared" si="7"/>
        <v/>
      </c>
      <c r="I63" s="3" t="str">
        <f t="shared" si="0"/>
        <v/>
      </c>
      <c r="J63" s="3" t="str">
        <f t="shared" si="1"/>
        <v/>
      </c>
      <c r="K63" s="3" t="str">
        <f t="shared" si="8"/>
        <v/>
      </c>
      <c r="L63" s="3" t="str">
        <f t="shared" si="2"/>
        <v/>
      </c>
      <c r="M63" s="3"/>
      <c r="N63" s="3"/>
      <c r="O63" s="3"/>
      <c r="P63" s="3"/>
      <c r="Q63" s="3"/>
      <c r="R63" s="3" t="str">
        <f t="shared" si="3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4"/>
        <v/>
      </c>
      <c r="AF63" s="3" t="str">
        <f t="shared" si="9"/>
        <v/>
      </c>
      <c r="AG63" s="3" t="str">
        <f t="shared" si="5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6"/>
        <v/>
      </c>
      <c r="H64" s="3" t="str">
        <f t="shared" si="7"/>
        <v/>
      </c>
      <c r="I64" s="3" t="str">
        <f t="shared" si="0"/>
        <v/>
      </c>
      <c r="J64" s="3" t="str">
        <f t="shared" si="1"/>
        <v/>
      </c>
      <c r="K64" s="3" t="str">
        <f t="shared" si="8"/>
        <v/>
      </c>
      <c r="L64" s="3" t="str">
        <f t="shared" si="2"/>
        <v/>
      </c>
      <c r="M64" s="3"/>
      <c r="N64" s="3"/>
      <c r="O64" s="3"/>
      <c r="P64" s="3"/>
      <c r="Q64" s="3"/>
      <c r="R64" s="3" t="str">
        <f t="shared" si="3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4"/>
        <v/>
      </c>
      <c r="AF64" s="3" t="str">
        <f t="shared" si="9"/>
        <v/>
      </c>
      <c r="AG64" s="3" t="str">
        <f t="shared" si="5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6"/>
        <v/>
      </c>
      <c r="H65" s="3" t="str">
        <f t="shared" si="7"/>
        <v/>
      </c>
      <c r="I65" s="3" t="str">
        <f t="shared" si="0"/>
        <v/>
      </c>
      <c r="J65" s="3" t="str">
        <f t="shared" si="1"/>
        <v/>
      </c>
      <c r="K65" s="3" t="str">
        <f t="shared" si="8"/>
        <v/>
      </c>
      <c r="L65" s="3" t="str">
        <f t="shared" si="2"/>
        <v/>
      </c>
      <c r="M65" s="3"/>
      <c r="N65" s="3"/>
      <c r="O65" s="3"/>
      <c r="P65" s="3"/>
      <c r="Q65" s="3"/>
      <c r="R65" s="3" t="str">
        <f t="shared" si="3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4"/>
        <v/>
      </c>
      <c r="AF65" s="3" t="str">
        <f t="shared" si="9"/>
        <v/>
      </c>
      <c r="AG65" s="3" t="str">
        <f t="shared" si="5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6"/>
        <v/>
      </c>
      <c r="H66" s="3" t="str">
        <f t="shared" si="7"/>
        <v/>
      </c>
      <c r="I66" s="3" t="str">
        <f t="shared" si="0"/>
        <v/>
      </c>
      <c r="J66" s="3" t="str">
        <f t="shared" si="1"/>
        <v/>
      </c>
      <c r="K66" s="3" t="str">
        <f t="shared" si="8"/>
        <v/>
      </c>
      <c r="L66" s="3" t="str">
        <f t="shared" si="2"/>
        <v/>
      </c>
      <c r="M66" s="3"/>
      <c r="N66" s="3"/>
      <c r="O66" s="3"/>
      <c r="P66" s="3"/>
      <c r="Q66" s="3"/>
      <c r="R66" s="3" t="str">
        <f t="shared" si="3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4"/>
        <v/>
      </c>
      <c r="AF66" s="3" t="str">
        <f t="shared" si="9"/>
        <v/>
      </c>
      <c r="AG66" s="3" t="str">
        <f t="shared" si="5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6"/>
        <v/>
      </c>
      <c r="H67" s="3" t="str">
        <f t="shared" si="7"/>
        <v/>
      </c>
      <c r="I67" s="3" t="str">
        <f t="shared" si="0"/>
        <v/>
      </c>
      <c r="J67" s="3" t="str">
        <f t="shared" si="1"/>
        <v/>
      </c>
      <c r="K67" s="3" t="str">
        <f t="shared" si="8"/>
        <v/>
      </c>
      <c r="L67" s="3" t="str">
        <f t="shared" si="2"/>
        <v/>
      </c>
      <c r="M67" s="3"/>
      <c r="N67" s="3"/>
      <c r="O67" s="3"/>
      <c r="P67" s="3"/>
      <c r="Q67" s="3"/>
      <c r="R67" s="3" t="str">
        <f t="shared" si="3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4"/>
        <v/>
      </c>
      <c r="AF67" s="3" t="str">
        <f t="shared" si="9"/>
        <v/>
      </c>
      <c r="AG67" s="3" t="str">
        <f t="shared" si="5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2026-08-27T20:40:49Z</dcterms:modified>
  <cp:category/>
</cp:coreProperties>
</file>